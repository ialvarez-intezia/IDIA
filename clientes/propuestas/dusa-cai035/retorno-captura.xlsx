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éame" sheetId="1" state="visible" r:id="rId1"/>
    <sheet name="Parámetros" sheetId="2" state="visible" r:id="rId2"/>
    <sheet name="Retorno por proceso" sheetId="3" state="visible" r:id="rId3"/>
    <sheet name="Resumen por área" sheetId="4" state="visible" r:id="rId4"/>
    <sheet name="Dotación y nómina" sheetId="5" state="visible" r:id="rId5"/>
    <sheet name="Sistemas" sheetId="6" state="visible" r:id="rId6"/>
    <sheet name="Datos disponibles" sheetId="7" state="visible" r:id="rId7"/>
    <sheet name="Datos que falt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top" wrapText="1"/>
    </xf>
    <xf numFmtId="0" fontId="1" fillId="0" borderId="0" pivotButton="0" quotePrefix="0" xfId="0"/>
    <xf numFmtId="0" fontId="1" fillId="4" borderId="1" pivotButton="0" quotePrefix="0" xfId="0"/>
    <xf numFmtId="0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HOJA DE CAPTURA · RETORNO ESPERADO · DUSA CAI-035 (interna, no se entrega al cliente)</t>
        </is>
      </c>
    </row>
    <row r="2">
      <c r="A2" s="2" t="inlineStr"/>
    </row>
    <row r="3">
      <c r="A3" s="2" t="inlineStr">
        <is>
          <t>Para qué sirve: reunir los datos duros por área y por proceso (volumen, tiempo actual, tiempo con la solución, horas recuperadas, dinero, dotación) que alimentan la página de «Retorno esperado» del informe y de la propuesta, con meta a 30, 60 y 90 días.</t>
        </is>
      </c>
    </row>
    <row r="4">
      <c r="A4" s="2" t="inlineStr">
        <is>
          <t>Cómo se llena: celdas AZULES = dato a completar. Celdas GRISES = fórmula (no tocar). Cada dato lleva su «Tipo de dato»: Medido, Declarado por el área o Estimación conservadora. Las estimaciones se indican como tales en el documento final.</t>
        </is>
      </c>
    </row>
    <row r="5">
      <c r="A5" s="1" t="inlineStr">
        <is>
          <t>Regla de oro: no se completa nada por intuición. Si el dato no existe, se deja vacío; el documento mostrará una estimación conservadora marcada como tal, o no mostrará la cifra.</t>
        </is>
      </c>
    </row>
    <row r="6">
      <c r="A6" s="2" t="inlineStr"/>
    </row>
    <row r="7">
      <c r="A7" s="1" t="inlineStr">
        <is>
          <t>Qué se encontró al preparar esta hoja (importante):</t>
        </is>
      </c>
    </row>
    <row r="8">
      <c r="A8" s="2" t="inlineStr">
        <is>
          <t>1) Las fichas de levantamiento disponibles (Nómina, Servicio Médico y Agente de Parafiscales) dicen «No declarado» en volumen mensual y horas por ejecución para casi todos los procesos. La propia ficha de Nómina indica que «ninguna estimación de ahorro es defendible» antes de la descripción paso a paso del equipo.</t>
        </is>
      </c>
    </row>
    <row r="9">
      <c r="A9" s="2" t="inlineStr">
        <is>
          <t>2) Por eso las columnas de tiempo, dinero y dotación están vacías. Los datos que sí existen están en la hoja «Datos disponibles», cada uno con su fuente.</t>
        </is>
      </c>
    </row>
    <row r="10">
      <c r="A10" s="2" t="inlineStr">
        <is>
          <t>3) Faltan, para calcular dinero y posiciones: costo hora de referencia (validado con Wilmer), horas productivas por posición al mes, escalas salariales de DUSA, dotación equivalente por área (solo se conoce Cuentas por Cobrar: ≈8 personas) y los montos de retrabajo, errores y pagos o cobros tardíos.</t>
        </is>
      </c>
    </row>
    <row r="11">
      <c r="A11" s="2" t="inlineStr">
        <is>
          <t>4) Los montos de la ficha del agente de parafiscales (p. ej. 23.751,77 de totales anteriores no pagados del Seguro Social) no traen moneda; la magnitud sugiere bolívares. Confirmar antes de usarlos.</t>
        </is>
      </c>
    </row>
    <row r="12">
      <c r="A12" s="2" t="inlineStr"/>
    </row>
    <row r="13">
      <c r="A13" s="2" t="inlineStr">
        <is>
          <t>Hojas: Parámetros · Retorno por proceso (44 soluciones) · Resumen por área (fórmulas) · Dotación y nómina · Sistemas · Datos disponibles · Datos que faltan.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8" customWidth="1" min="1" max="1"/>
    <col width="22" customWidth="1" min="2" max="2"/>
    <col width="70" customWidth="1" min="3" max="3"/>
  </cols>
  <sheetData>
    <row r="1">
      <c r="A1" s="3" t="inlineStr">
        <is>
          <t>Parámetro</t>
        </is>
      </c>
      <c r="B1" s="3" t="inlineStr">
        <is>
          <t>Valor</t>
        </is>
      </c>
      <c r="C1" s="3" t="inlineStr">
        <is>
          <t>Cómo se obtiene / quién lo valida</t>
        </is>
      </c>
    </row>
    <row r="2">
      <c r="A2" s="4" t="inlineStr">
        <is>
          <t>Costo hora de referencia (USD por hora)</t>
        </is>
      </c>
      <c r="B2" s="5" t="n"/>
      <c r="C2" s="4" t="inlineStr">
        <is>
          <t>Se valida con Wilmer. Sin este dato no se calcula el valor de las horas recuperadas.</t>
        </is>
      </c>
    </row>
    <row r="3">
      <c r="A3" s="4" t="inlineStr">
        <is>
          <t>Horas productivas por posición al mes</t>
        </is>
      </c>
      <c r="B3" s="5" t="n"/>
      <c r="C3" s="4" t="inlineStr">
        <is>
          <t>Define cuántas horas recuperadas equivalen a una posición. Validar con Recursos Humanos de DUSA (no se asume).</t>
        </is>
      </c>
    </row>
    <row r="4">
      <c r="A4" s="4" t="inlineStr">
        <is>
          <t>Moneda de los montos de las fichas</t>
        </is>
      </c>
      <c r="B4" s="5" t="n"/>
      <c r="C4" s="4" t="inlineStr">
        <is>
          <t>Las fichas de parafiscales no indican moneda. Confirmar con Nómina.</t>
        </is>
      </c>
    </row>
    <row r="5">
      <c r="A5" s="4" t="inlineStr">
        <is>
          <t>Tasa de cambio de referencia (si hay montos en bolívares)</t>
        </is>
      </c>
      <c r="B5" s="5" t="n"/>
      <c r="C5" s="4" t="inlineStr">
        <is>
          <t>Solo si se convierten montos a dólares; indicar fecha y fuente.</t>
        </is>
      </c>
    </row>
    <row r="6">
      <c r="A6" s="4" t="inlineStr">
        <is>
          <t>Fecha de la referencia de costos</t>
        </is>
      </c>
      <c r="B6" s="5" t="n"/>
      <c r="C6" s="4" t="inlineStr">
        <is>
          <t>Fecha en que se validaron el costo hora y las escalas salariales.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7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7" customWidth="1" min="3" max="3"/>
    <col width="7" customWidth="1" min="4" max="4"/>
    <col width="46" customWidth="1" min="5" max="5"/>
    <col width="11" customWidth="1" min="6" max="6"/>
    <col width="6" customWidth="1" min="7" max="7"/>
    <col width="13" customWidth="1" min="8" max="8"/>
    <col width="16" customWidth="1" min="9" max="9"/>
    <col width="52" customWidth="1" min="10" max="10"/>
    <col width="36" customWidth="1" min="11" max="11"/>
    <col width="13" customWidth="1" min="12" max="12"/>
    <col width="12" customWidth="1" min="13" max="13"/>
    <col width="13" customWidth="1" min="14" max="14"/>
    <col width="14" customWidth="1" min="15" max="15"/>
    <col width="13" customWidth="1" min="16" max="16"/>
    <col width="13" customWidth="1" min="17" max="17"/>
    <col width="16" customWidth="1" min="18" max="18"/>
    <col width="14" customWidth="1" min="19" max="19"/>
    <col width="14" customWidth="1" min="20" max="20"/>
    <col width="14" customWidth="1" min="21" max="21"/>
    <col width="20" customWidth="1" min="22" max="22"/>
    <col width="14" customWidth="1" min="23" max="23"/>
    <col width="12" customWidth="1" min="24" max="24"/>
    <col width="12" customWidth="1" min="25" max="25"/>
    <col width="30" customWidth="1" min="26" max="26"/>
  </cols>
  <sheetData>
    <row r="1" ht="62" customHeight="1">
      <c r="A1" s="6" t="inlineStr">
        <is>
          <t>Área</t>
        </is>
      </c>
      <c r="B1" s="6" t="inlineStr">
        <is>
          <t>Carril</t>
        </is>
      </c>
      <c r="C1" s="6" t="inlineStr">
        <is>
          <t>Frente</t>
        </is>
      </c>
      <c r="D1" s="6" t="inlineStr">
        <is>
          <t>ID</t>
        </is>
      </c>
      <c r="E1" s="6" t="inlineStr">
        <is>
          <t>Solución / proceso (resumen)</t>
        </is>
      </c>
      <c r="F1" s="6" t="inlineStr">
        <is>
          <t>Horas de sesión (Intezia)</t>
        </is>
      </c>
      <c r="G1" s="6" t="inlineStr">
        <is>
          <t>Fase</t>
        </is>
      </c>
      <c r="H1" s="6" t="inlineStr">
        <is>
          <t>Volumen mensual</t>
        </is>
      </c>
      <c r="I1" s="6" t="inlineStr">
        <is>
          <t>Unidad del volumen</t>
        </is>
      </c>
      <c r="J1" s="6" t="inlineStr">
        <is>
          <t>Qué se sabe hoy (con fuente)</t>
        </is>
      </c>
      <c r="K1" s="6" t="inlineStr">
        <is>
          <t>Fuente</t>
        </is>
      </c>
      <c r="L1" s="6" t="inlineStr">
        <is>
          <t>Tiempo actual por ejecución (h)</t>
        </is>
      </c>
      <c r="M1" s="6" t="inlineStr">
        <is>
          <t>Ejecuciones al mes</t>
        </is>
      </c>
      <c r="N1" s="6" t="inlineStr">
        <is>
          <t>Horas actuales al mes</t>
        </is>
      </c>
      <c r="O1" s="6" t="inlineStr">
        <is>
          <t>Tiempo con la solución por ejecución (h)</t>
        </is>
      </c>
      <c r="P1" s="6" t="inlineStr">
        <is>
          <t>Horas con la solución al mes</t>
        </is>
      </c>
      <c r="Q1" s="6" t="inlineStr">
        <is>
          <t>Horas recuperadas al mes</t>
        </is>
      </c>
      <c r="R1" s="6" t="inlineStr">
        <is>
          <t>Valor de las horas recuperadas (USD/mes)</t>
        </is>
      </c>
      <c r="S1" s="6" t="inlineStr">
        <is>
          <t>Retrabajo y errores (USD/mes)</t>
        </is>
      </c>
      <c r="T1" s="6" t="inlineStr">
        <is>
          <t>Pagos o cobros tardíos (USD/mes)</t>
        </is>
      </c>
      <c r="U1" s="6" t="inlineStr">
        <is>
          <t>Retorno mensual (USD)</t>
        </is>
      </c>
      <c r="V1" s="6" t="inlineStr">
        <is>
          <t>Tipo de dato</t>
        </is>
      </c>
      <c r="W1" s="6" t="inlineStr">
        <is>
          <t>Meta a 30 días (h recuperadas/mes)</t>
        </is>
      </c>
      <c r="X1" s="6" t="inlineStr">
        <is>
          <t>Meta a 60 días</t>
        </is>
      </c>
      <c r="Y1" s="6" t="inlineStr">
        <is>
          <t>Meta a 90 días</t>
        </is>
      </c>
      <c r="Z1" s="6" t="inlineStr">
        <is>
          <t>Observación</t>
        </is>
      </c>
    </row>
    <row r="2">
      <c r="A2" s="4" t="inlineStr">
        <is>
          <t>Contabilidad y Cuentas por Pagar</t>
        </is>
      </c>
      <c r="B2" s="4" t="inlineStr">
        <is>
          <t>Copilot</t>
        </is>
      </c>
      <c r="C2" s="4" t="inlineStr">
        <is>
          <t>C</t>
        </is>
      </c>
      <c r="D2" s="4" t="inlineStr">
        <is>
          <t>CP-1</t>
        </is>
      </c>
      <c r="E2" s="4" t="inlineStr">
        <is>
          <t>Asistente de asignación y aprobación de pagos</t>
        </is>
      </c>
      <c r="F2" s="4" t="n">
        <v>14</v>
      </c>
      <c r="G2" s="4" t="inlineStr">
        <is>
          <t>F1</t>
        </is>
      </c>
      <c r="H2" s="5" t="n"/>
      <c r="I2" s="5" t="n"/>
      <c r="J2" s="4" t="inlineStr">
        <is>
          <t>Más de 300 facturas al mes se registran a mano (el registro de facturas lo cubre Sistemas, no esta propuesta)</t>
        </is>
      </c>
      <c r="K2" s="4" t="inlineStr">
        <is>
          <t>Informe Final de Auditoría IA, 04/09/2026</t>
        </is>
      </c>
      <c r="L2" s="5" t="n"/>
      <c r="M2" s="5" t="n"/>
      <c r="N2" s="7">
        <f>IF(AND(ISNUMBER(L2),ISNUMBER(M2)),L2*M2,"")</f>
        <v/>
      </c>
      <c r="O2" s="5" t="n"/>
      <c r="P2" s="7">
        <f>IF(AND(ISNUMBER(O2),ISNUMBER(M2)),O2*M2,"")</f>
        <v/>
      </c>
      <c r="Q2" s="7">
        <f>IF(AND(ISNUMBER(N2),ISNUMBER(P2)),N2-P2,"")</f>
        <v/>
      </c>
      <c r="R2" s="7">
        <f>IF(AND(ISNUMBER(Q2),ISNUMBER(Parámetros!$B$2)),Q2*Parámetros!$B$2,"")</f>
        <v/>
      </c>
      <c r="S2" s="5" t="n"/>
      <c r="T2" s="5" t="n"/>
      <c r="U2" s="7">
        <f>IF(COUNT(R2:T2)=0,"",SUM(R2:T2))</f>
        <v/>
      </c>
      <c r="V2" s="5" t="n"/>
      <c r="W2" s="5" t="n"/>
      <c r="X2" s="5" t="n"/>
      <c r="Y2" s="5" t="n"/>
      <c r="Z2" s="5" t="n"/>
    </row>
    <row r="3">
      <c r="A3" s="4" t="inlineStr">
        <is>
          <t>Contabilidad y Cuentas por Pagar</t>
        </is>
      </c>
      <c r="B3" s="4" t="inlineStr">
        <is>
          <t>Copilot</t>
        </is>
      </c>
      <c r="C3" s="4" t="inlineStr">
        <is>
          <t>C</t>
        </is>
      </c>
      <c r="D3" s="4" t="inlineStr">
        <is>
          <t>CP-2</t>
        </is>
      </c>
      <c r="E3" s="4" t="inlineStr">
        <is>
          <t>Depurador de reportes exportados de JD Edwards</t>
        </is>
      </c>
      <c r="F3" s="4" t="n">
        <v>9</v>
      </c>
      <c r="G3" s="4" t="inlineStr">
        <is>
          <t>F1</t>
        </is>
      </c>
      <c r="H3" s="5" t="n"/>
      <c r="I3" s="5" t="n"/>
      <c r="J3" s="4" t="inlineStr"/>
      <c r="K3" s="4" t="inlineStr"/>
      <c r="L3" s="5" t="n"/>
      <c r="M3" s="5" t="n"/>
      <c r="N3" s="7">
        <f>IF(AND(ISNUMBER(L3),ISNUMBER(M3)),L3*M3,"")</f>
        <v/>
      </c>
      <c r="O3" s="5" t="n"/>
      <c r="P3" s="7">
        <f>IF(AND(ISNUMBER(O3),ISNUMBER(M3)),O3*M3,"")</f>
        <v/>
      </c>
      <c r="Q3" s="7">
        <f>IF(AND(ISNUMBER(N3),ISNUMBER(P3)),N3-P3,"")</f>
        <v/>
      </c>
      <c r="R3" s="7">
        <f>IF(AND(ISNUMBER(Q3),ISNUMBER(Parámetros!$B$2)),Q3*Parámetros!$B$2,"")</f>
        <v/>
      </c>
      <c r="S3" s="5" t="n"/>
      <c r="T3" s="5" t="n"/>
      <c r="U3" s="7">
        <f>IF(COUNT(R3:T3)=0,"",SUM(R3:T3))</f>
        <v/>
      </c>
      <c r="V3" s="5" t="n"/>
      <c r="W3" s="5" t="n"/>
      <c r="X3" s="5" t="n"/>
      <c r="Y3" s="5" t="n"/>
      <c r="Z3" s="5" t="n"/>
    </row>
    <row r="4">
      <c r="A4" s="4" t="inlineStr">
        <is>
          <t>Contabilidad y Cuentas por Pagar</t>
        </is>
      </c>
      <c r="B4" s="4" t="inlineStr">
        <is>
          <t>Copilot</t>
        </is>
      </c>
      <c r="C4" s="4" t="inlineStr">
        <is>
          <t>C</t>
        </is>
      </c>
      <c r="D4" s="4" t="inlineStr">
        <is>
          <t>CP-3</t>
        </is>
      </c>
      <c r="E4" s="4" t="inlineStr">
        <is>
          <t>Agente de estados financieros pulido y estandarizado para todo el equipo y extendido al ciclo (ver programa.md)</t>
        </is>
      </c>
      <c r="F4" s="4" t="n">
        <v>12</v>
      </c>
      <c r="G4" s="4" t="inlineStr">
        <is>
          <t>F2</t>
        </is>
      </c>
      <c r="H4" s="5" t="n"/>
      <c r="I4" s="5" t="n"/>
      <c r="J4" s="4" t="inlineStr"/>
      <c r="K4" s="4" t="inlineStr"/>
      <c r="L4" s="5" t="n"/>
      <c r="M4" s="5" t="n"/>
      <c r="N4" s="7">
        <f>IF(AND(ISNUMBER(L4),ISNUMBER(M4)),L4*M4,"")</f>
        <v/>
      </c>
      <c r="O4" s="5" t="n"/>
      <c r="P4" s="7">
        <f>IF(AND(ISNUMBER(O4),ISNUMBER(M4)),O4*M4,"")</f>
        <v/>
      </c>
      <c r="Q4" s="7">
        <f>IF(AND(ISNUMBER(N4),ISNUMBER(P4)),N4-P4,"")</f>
        <v/>
      </c>
      <c r="R4" s="7">
        <f>IF(AND(ISNUMBER(Q4),ISNUMBER(Parámetros!$B$2)),Q4*Parámetros!$B$2,"")</f>
        <v/>
      </c>
      <c r="S4" s="5" t="n"/>
      <c r="T4" s="5" t="n"/>
      <c r="U4" s="7">
        <f>IF(COUNT(R4:T4)=0,"",SUM(R4:T4))</f>
        <v/>
      </c>
      <c r="V4" s="5" t="n"/>
      <c r="W4" s="5" t="n"/>
      <c r="X4" s="5" t="n"/>
      <c r="Y4" s="5" t="n"/>
      <c r="Z4" s="5" t="n"/>
    </row>
    <row r="5">
      <c r="A5" s="4" t="inlineStr">
        <is>
          <t>Tesorería</t>
        </is>
      </c>
      <c r="B5" s="4" t="inlineStr">
        <is>
          <t>Copilot</t>
        </is>
      </c>
      <c r="C5" s="4" t="inlineStr">
        <is>
          <t>C</t>
        </is>
      </c>
      <c r="D5" s="4" t="inlineStr">
        <is>
          <t>TS-1</t>
        </is>
      </c>
      <c r="E5" s="4" t="inlineStr">
        <is>
          <t>Clasificador de la bandeja del tesorero</t>
        </is>
      </c>
      <c r="F5" s="4" t="n">
        <v>14</v>
      </c>
      <c r="G5" s="4" t="inlineStr">
        <is>
          <t>F1</t>
        </is>
      </c>
      <c r="H5" s="5" t="n"/>
      <c r="I5" s="5" t="n"/>
      <c r="J5" s="4" t="inlineStr">
        <is>
          <t>130 cuentas bancarias de 15 empresas; cerca de 5.000 movimientos al mes; la mitad de la jornada se va en descargar y cargar extractos</t>
        </is>
      </c>
      <c r="K5" s="4" t="inlineStr">
        <is>
          <t>Informe Final de Auditoría IA, 04/09/2026 (recogido en dusa-cai012/brief.md)</t>
        </is>
      </c>
      <c r="L5" s="5" t="n"/>
      <c r="M5" s="5" t="n"/>
      <c r="N5" s="7">
        <f>IF(AND(ISNUMBER(L5),ISNUMBER(M5)),L5*M5,"")</f>
        <v/>
      </c>
      <c r="O5" s="5" t="n"/>
      <c r="P5" s="7">
        <f>IF(AND(ISNUMBER(O5),ISNUMBER(M5)),O5*M5,"")</f>
        <v/>
      </c>
      <c r="Q5" s="7">
        <f>IF(AND(ISNUMBER(N5),ISNUMBER(P5)),N5-P5,"")</f>
        <v/>
      </c>
      <c r="R5" s="7">
        <f>IF(AND(ISNUMBER(Q5),ISNUMBER(Parámetros!$B$2)),Q5*Parámetros!$B$2,"")</f>
        <v/>
      </c>
      <c r="S5" s="5" t="n"/>
      <c r="T5" s="5" t="n"/>
      <c r="U5" s="7">
        <f>IF(COUNT(R5:T5)=0,"",SUM(R5:T5))</f>
        <v/>
      </c>
      <c r="V5" s="5" t="n"/>
      <c r="W5" s="5" t="n"/>
      <c r="X5" s="5" t="n"/>
      <c r="Y5" s="5" t="n"/>
      <c r="Z5" s="5" t="n"/>
    </row>
    <row r="6">
      <c r="A6" s="4" t="inlineStr">
        <is>
          <t>Tesorería</t>
        </is>
      </c>
      <c r="B6" s="4" t="inlineStr">
        <is>
          <t>Copilot</t>
        </is>
      </c>
      <c r="C6" s="4" t="inlineStr">
        <is>
          <t>C</t>
        </is>
      </c>
      <c r="D6" s="4" t="inlineStr">
        <is>
          <t>TS-2</t>
        </is>
      </c>
      <c r="E6" s="4" t="inlineStr">
        <is>
          <t>Seguimiento de tareas del equipo y de las áreas que entregan insumos, sobre la herramienta de (ver programa.md)</t>
        </is>
      </c>
      <c r="F6" s="4" t="n">
        <v>8</v>
      </c>
      <c r="G6" s="4" t="inlineStr">
        <is>
          <t>F1</t>
        </is>
      </c>
      <c r="H6" s="5" t="n"/>
      <c r="I6" s="5" t="n"/>
      <c r="J6" s="4" t="inlineStr"/>
      <c r="K6" s="4" t="inlineStr"/>
      <c r="L6" s="5" t="n"/>
      <c r="M6" s="5" t="n"/>
      <c r="N6" s="7">
        <f>IF(AND(ISNUMBER(L6),ISNUMBER(M6)),L6*M6,"")</f>
        <v/>
      </c>
      <c r="O6" s="5" t="n"/>
      <c r="P6" s="7">
        <f>IF(AND(ISNUMBER(O6),ISNUMBER(M6)),O6*M6,"")</f>
        <v/>
      </c>
      <c r="Q6" s="7">
        <f>IF(AND(ISNUMBER(N6),ISNUMBER(P6)),N6-P6,"")</f>
        <v/>
      </c>
      <c r="R6" s="7">
        <f>IF(AND(ISNUMBER(Q6),ISNUMBER(Parámetros!$B$2)),Q6*Parámetros!$B$2,"")</f>
        <v/>
      </c>
      <c r="S6" s="5" t="n"/>
      <c r="T6" s="5" t="n"/>
      <c r="U6" s="7">
        <f>IF(COUNT(R6:T6)=0,"",SUM(R6:T6))</f>
        <v/>
      </c>
      <c r="V6" s="5" t="n"/>
      <c r="W6" s="5" t="n"/>
      <c r="X6" s="5" t="n"/>
      <c r="Y6" s="5" t="n"/>
      <c r="Z6" s="5" t="n"/>
    </row>
    <row r="7">
      <c r="A7" s="4" t="inlineStr">
        <is>
          <t>Cuentas por Cobrar</t>
        </is>
      </c>
      <c r="B7" s="4" t="inlineStr">
        <is>
          <t>Copilot</t>
        </is>
      </c>
      <c r="C7" s="4" t="inlineStr">
        <is>
          <t>C</t>
        </is>
      </c>
      <c r="D7" s="4" t="inlineStr">
        <is>
          <t>CC-1</t>
        </is>
      </c>
      <c r="E7" s="4" t="inlineStr">
        <is>
          <t>Cuadro nacional de descuentos comerciales normalizado por marca y conciliado contra pedido, (ver programa.md)</t>
        </is>
      </c>
      <c r="F7" s="4" t="n">
        <v>15</v>
      </c>
      <c r="G7" s="4" t="inlineStr">
        <is>
          <t>F1</t>
        </is>
      </c>
      <c r="H7" s="5" t="n"/>
      <c r="I7" s="5" t="n"/>
      <c r="J7" s="4" t="inlineStr">
        <is>
          <t>La líder de Cuentas por Cobrar estimó unas 8 personas para procesar la data a mano</t>
        </is>
      </c>
      <c r="K7" s="4" t="inlineStr">
        <is>
          <t>Mensaje de revisión del 05/10/2026; verificar contra la ficha de Cuentas por Cobrar</t>
        </is>
      </c>
      <c r="L7" s="5" t="n"/>
      <c r="M7" s="5" t="n"/>
      <c r="N7" s="7">
        <f>IF(AND(ISNUMBER(L7),ISNUMBER(M7)),L7*M7,"")</f>
        <v/>
      </c>
      <c r="O7" s="5" t="n"/>
      <c r="P7" s="7">
        <f>IF(AND(ISNUMBER(O7),ISNUMBER(M7)),O7*M7,"")</f>
        <v/>
      </c>
      <c r="Q7" s="7">
        <f>IF(AND(ISNUMBER(N7),ISNUMBER(P7)),N7-P7,"")</f>
        <v/>
      </c>
      <c r="R7" s="7">
        <f>IF(AND(ISNUMBER(Q7),ISNUMBER(Parámetros!$B$2)),Q7*Parámetros!$B$2,"")</f>
        <v/>
      </c>
      <c r="S7" s="5" t="n"/>
      <c r="T7" s="5" t="n"/>
      <c r="U7" s="7">
        <f>IF(COUNT(R7:T7)=0,"",SUM(R7:T7))</f>
        <v/>
      </c>
      <c r="V7" s="5" t="n"/>
      <c r="W7" s="5" t="n"/>
      <c r="X7" s="5" t="n"/>
      <c r="Y7" s="5" t="n"/>
      <c r="Z7" s="5" t="n"/>
    </row>
    <row r="8">
      <c r="A8" s="4" t="inlineStr">
        <is>
          <t>Finanzas</t>
        </is>
      </c>
      <c r="B8" s="4" t="inlineStr">
        <is>
          <t>Copilot</t>
        </is>
      </c>
      <c r="C8" s="4" t="inlineStr">
        <is>
          <t>C</t>
        </is>
      </c>
      <c r="D8" s="4" t="inlineStr">
        <is>
          <t>FN-0</t>
        </is>
      </c>
      <c r="E8" s="4" t="inlineStr">
        <is>
          <t>Mapeo de microprocesos con las cinco áreas proveedoras y contrato de datos por área</t>
        </is>
      </c>
      <c r="F8" s="4" t="n">
        <v>12</v>
      </c>
      <c r="G8" s="4" t="inlineStr">
        <is>
          <t>F0</t>
        </is>
      </c>
      <c r="H8" s="5" t="n"/>
      <c r="I8" s="5" t="n"/>
      <c r="J8" s="4" t="inlineStr"/>
      <c r="K8" s="4" t="inlineStr"/>
      <c r="L8" s="5" t="n"/>
      <c r="M8" s="5" t="n"/>
      <c r="N8" s="7">
        <f>IF(AND(ISNUMBER(L8),ISNUMBER(M8)),L8*M8,"")</f>
        <v/>
      </c>
      <c r="O8" s="5" t="n"/>
      <c r="P8" s="7">
        <f>IF(AND(ISNUMBER(O8),ISNUMBER(M8)),O8*M8,"")</f>
        <v/>
      </c>
      <c r="Q8" s="7">
        <f>IF(AND(ISNUMBER(N8),ISNUMBER(P8)),N8-P8,"")</f>
        <v/>
      </c>
      <c r="R8" s="7">
        <f>IF(AND(ISNUMBER(Q8),ISNUMBER(Parámetros!$B$2)),Q8*Parámetros!$B$2,"")</f>
        <v/>
      </c>
      <c r="S8" s="5" t="n"/>
      <c r="T8" s="5" t="n"/>
      <c r="U8" s="7">
        <f>IF(COUNT(R8:T8)=0,"",SUM(R8:T8))</f>
        <v/>
      </c>
      <c r="V8" s="5" t="n"/>
      <c r="W8" s="5" t="n"/>
      <c r="X8" s="5" t="n"/>
      <c r="Y8" s="5" t="n"/>
      <c r="Z8" s="5" t="n"/>
    </row>
    <row r="9">
      <c r="A9" s="4" t="inlineStr">
        <is>
          <t>Finanzas</t>
        </is>
      </c>
      <c r="B9" s="4" t="inlineStr">
        <is>
          <t>Copilot</t>
        </is>
      </c>
      <c r="C9" s="4" t="inlineStr">
        <is>
          <t>C</t>
        </is>
      </c>
      <c r="D9" s="4" t="inlineStr">
        <is>
          <t>FN-1</t>
        </is>
      </c>
      <c r="E9" s="4" t="inlineStr">
        <is>
          <t>Agente de presentación de premisas al comité, sin dependencia de terceros</t>
        </is>
      </c>
      <c r="F9" s="4" t="n">
        <v>7</v>
      </c>
      <c r="G9" s="4" t="inlineStr">
        <is>
          <t>F1</t>
        </is>
      </c>
      <c r="H9" s="5" t="n"/>
      <c r="I9" s="5" t="n"/>
      <c r="J9" s="4" t="inlineStr"/>
      <c r="K9" s="4" t="inlineStr"/>
      <c r="L9" s="5" t="n"/>
      <c r="M9" s="5" t="n"/>
      <c r="N9" s="7">
        <f>IF(AND(ISNUMBER(L9),ISNUMBER(M9)),L9*M9,"")</f>
        <v/>
      </c>
      <c r="O9" s="5" t="n"/>
      <c r="P9" s="7">
        <f>IF(AND(ISNUMBER(O9),ISNUMBER(M9)),O9*M9,"")</f>
        <v/>
      </c>
      <c r="Q9" s="7">
        <f>IF(AND(ISNUMBER(N9),ISNUMBER(P9)),N9-P9,"")</f>
        <v/>
      </c>
      <c r="R9" s="7">
        <f>IF(AND(ISNUMBER(Q9),ISNUMBER(Parámetros!$B$2)),Q9*Parámetros!$B$2,"")</f>
        <v/>
      </c>
      <c r="S9" s="5" t="n"/>
      <c r="T9" s="5" t="n"/>
      <c r="U9" s="7">
        <f>IF(COUNT(R9:T9)=0,"",SUM(R9:T9))</f>
        <v/>
      </c>
      <c r="V9" s="5" t="n"/>
      <c r="W9" s="5" t="n"/>
      <c r="X9" s="5" t="n"/>
      <c r="Y9" s="5" t="n"/>
      <c r="Z9" s="5" t="n"/>
    </row>
    <row r="10">
      <c r="A10" s="4" t="inlineStr">
        <is>
          <t>Finanzas</t>
        </is>
      </c>
      <c r="B10" s="4" t="inlineStr">
        <is>
          <t>Copilot</t>
        </is>
      </c>
      <c r="C10" s="4" t="inlineStr">
        <is>
          <t>C</t>
        </is>
      </c>
      <c r="D10" s="4" t="inlineStr">
        <is>
          <t>FN-2</t>
        </is>
      </c>
      <c r="E10" s="4" t="inlineStr">
        <is>
          <t>Plan de ventas (plan de licores) mensualizado por producto</t>
        </is>
      </c>
      <c r="F10" s="4" t="n">
        <v>9</v>
      </c>
      <c r="G10" s="4" t="inlineStr">
        <is>
          <t>F2</t>
        </is>
      </c>
      <c r="H10" s="5" t="n"/>
      <c r="I10" s="5" t="n"/>
      <c r="J10" s="4" t="inlineStr"/>
      <c r="K10" s="4" t="inlineStr"/>
      <c r="L10" s="5" t="n"/>
      <c r="M10" s="5" t="n"/>
      <c r="N10" s="7">
        <f>IF(AND(ISNUMBER(L10),ISNUMBER(M10)),L10*M10,"")</f>
        <v/>
      </c>
      <c r="O10" s="5" t="n"/>
      <c r="P10" s="7">
        <f>IF(AND(ISNUMBER(O10),ISNUMBER(M10)),O10*M10,"")</f>
        <v/>
      </c>
      <c r="Q10" s="7">
        <f>IF(AND(ISNUMBER(N10),ISNUMBER(P10)),N10-P10,"")</f>
        <v/>
      </c>
      <c r="R10" s="7">
        <f>IF(AND(ISNUMBER(Q10),ISNUMBER(Parámetros!$B$2)),Q10*Parámetros!$B$2,"")</f>
        <v/>
      </c>
      <c r="S10" s="5" t="n"/>
      <c r="T10" s="5" t="n"/>
      <c r="U10" s="7">
        <f>IF(COUNT(R10:T10)=0,"",SUM(R10:T10))</f>
        <v/>
      </c>
      <c r="V10" s="5" t="n"/>
      <c r="W10" s="5" t="n"/>
      <c r="X10" s="5" t="n"/>
      <c r="Y10" s="5" t="n"/>
      <c r="Z10" s="5" t="n"/>
    </row>
    <row r="11">
      <c r="A11" s="4" t="inlineStr">
        <is>
          <t>Finanzas</t>
        </is>
      </c>
      <c r="B11" s="4" t="inlineStr">
        <is>
          <t>Copilot</t>
        </is>
      </c>
      <c r="C11" s="4" t="inlineStr">
        <is>
          <t>C</t>
        </is>
      </c>
      <c r="D11" s="4" t="inlineStr">
        <is>
          <t>FN-3</t>
        </is>
      </c>
      <c r="E11" s="4" t="inlineStr">
        <is>
          <t>Costos de materiales y precios</t>
        </is>
      </c>
      <c r="F11" s="4" t="n">
        <v>10</v>
      </c>
      <c r="G11" s="4" t="inlineStr">
        <is>
          <t>F2</t>
        </is>
      </c>
      <c r="H11" s="5" t="n"/>
      <c r="I11" s="5" t="n"/>
      <c r="J11" s="4" t="inlineStr"/>
      <c r="K11" s="4" t="inlineStr"/>
      <c r="L11" s="5" t="n"/>
      <c r="M11" s="5" t="n"/>
      <c r="N11" s="7">
        <f>IF(AND(ISNUMBER(L11),ISNUMBER(M11)),L11*M11,"")</f>
        <v/>
      </c>
      <c r="O11" s="5" t="n"/>
      <c r="P11" s="7">
        <f>IF(AND(ISNUMBER(O11),ISNUMBER(M11)),O11*M11,"")</f>
        <v/>
      </c>
      <c r="Q11" s="7">
        <f>IF(AND(ISNUMBER(N11),ISNUMBER(P11)),N11-P11,"")</f>
        <v/>
      </c>
      <c r="R11" s="7">
        <f>IF(AND(ISNUMBER(Q11),ISNUMBER(Parámetros!$B$2)),Q11*Parámetros!$B$2,"")</f>
        <v/>
      </c>
      <c r="S11" s="5" t="n"/>
      <c r="T11" s="5" t="n"/>
      <c r="U11" s="7">
        <f>IF(COUNT(R11:T11)=0,"",SUM(R11:T11))</f>
        <v/>
      </c>
      <c r="V11" s="5" t="n"/>
      <c r="W11" s="5" t="n"/>
      <c r="X11" s="5" t="n"/>
      <c r="Y11" s="5" t="n"/>
      <c r="Z11" s="5" t="n"/>
    </row>
    <row r="12">
      <c r="A12" s="4" t="inlineStr">
        <is>
          <t>Finanzas</t>
        </is>
      </c>
      <c r="B12" s="4" t="inlineStr">
        <is>
          <t>Copilot</t>
        </is>
      </c>
      <c r="C12" s="4" t="inlineStr">
        <is>
          <t>C</t>
        </is>
      </c>
      <c r="D12" s="4" t="inlineStr">
        <is>
          <t>FN-4</t>
        </is>
      </c>
      <c r="E12" s="4" t="inlineStr">
        <is>
          <t>Plan administrativo</t>
        </is>
      </c>
      <c r="F12" s="4" t="n">
        <v>7</v>
      </c>
      <c r="G12" s="4" t="inlineStr">
        <is>
          <t>F2</t>
        </is>
      </c>
      <c r="H12" s="5" t="n"/>
      <c r="I12" s="5" t="n"/>
      <c r="J12" s="4" t="inlineStr"/>
      <c r="K12" s="4" t="inlineStr"/>
      <c r="L12" s="5" t="n"/>
      <c r="M12" s="5" t="n"/>
      <c r="N12" s="7">
        <f>IF(AND(ISNUMBER(L12),ISNUMBER(M12)),L12*M12,"")</f>
        <v/>
      </c>
      <c r="O12" s="5" t="n"/>
      <c r="P12" s="7">
        <f>IF(AND(ISNUMBER(O12),ISNUMBER(M12)),O12*M12,"")</f>
        <v/>
      </c>
      <c r="Q12" s="7">
        <f>IF(AND(ISNUMBER(N12),ISNUMBER(P12)),N12-P12,"")</f>
        <v/>
      </c>
      <c r="R12" s="7">
        <f>IF(AND(ISNUMBER(Q12),ISNUMBER(Parámetros!$B$2)),Q12*Parámetros!$B$2,"")</f>
        <v/>
      </c>
      <c r="S12" s="5" t="n"/>
      <c r="T12" s="5" t="n"/>
      <c r="U12" s="7">
        <f>IF(COUNT(R12:T12)=0,"",SUM(R12:T12))</f>
        <v/>
      </c>
      <c r="V12" s="5" t="n"/>
      <c r="W12" s="5" t="n"/>
      <c r="X12" s="5" t="n"/>
      <c r="Y12" s="5" t="n"/>
      <c r="Z12" s="5" t="n"/>
    </row>
    <row r="13">
      <c r="A13" s="4" t="inlineStr">
        <is>
          <t>Finanzas</t>
        </is>
      </c>
      <c r="B13" s="4" t="inlineStr">
        <is>
          <t>Copilot</t>
        </is>
      </c>
      <c r="C13" s="4" t="inlineStr">
        <is>
          <t>C</t>
        </is>
      </c>
      <c r="D13" s="4" t="inlineStr">
        <is>
          <t>FN-5</t>
        </is>
      </c>
      <c r="E13" s="4" t="inlineStr">
        <is>
          <t>Costeo de manufactura</t>
        </is>
      </c>
      <c r="F13" s="4" t="n">
        <v>14</v>
      </c>
      <c r="G13" s="4" t="inlineStr">
        <is>
          <t>F3</t>
        </is>
      </c>
      <c r="H13" s="5" t="n"/>
      <c r="I13" s="5" t="n"/>
      <c r="J13" s="4" t="inlineStr"/>
      <c r="K13" s="4" t="inlineStr"/>
      <c r="L13" s="5" t="n"/>
      <c r="M13" s="5" t="n"/>
      <c r="N13" s="7">
        <f>IF(AND(ISNUMBER(L13),ISNUMBER(M13)),L13*M13,"")</f>
        <v/>
      </c>
      <c r="O13" s="5" t="n"/>
      <c r="P13" s="7">
        <f>IF(AND(ISNUMBER(O13),ISNUMBER(M13)),O13*M13,"")</f>
        <v/>
      </c>
      <c r="Q13" s="7">
        <f>IF(AND(ISNUMBER(N13),ISNUMBER(P13)),N13-P13,"")</f>
        <v/>
      </c>
      <c r="R13" s="7">
        <f>IF(AND(ISNUMBER(Q13),ISNUMBER(Parámetros!$B$2)),Q13*Parámetros!$B$2,"")</f>
        <v/>
      </c>
      <c r="S13" s="5" t="n"/>
      <c r="T13" s="5" t="n"/>
      <c r="U13" s="7">
        <f>IF(COUNT(R13:T13)=0,"",SUM(R13:T13))</f>
        <v/>
      </c>
      <c r="V13" s="5" t="n"/>
      <c r="W13" s="5" t="n"/>
      <c r="X13" s="5" t="n"/>
      <c r="Y13" s="5" t="n"/>
      <c r="Z13" s="5" t="n"/>
    </row>
    <row r="14">
      <c r="A14" s="4" t="inlineStr">
        <is>
          <t>Finanzas</t>
        </is>
      </c>
      <c r="B14" s="4" t="inlineStr">
        <is>
          <t>Copilot</t>
        </is>
      </c>
      <c r="C14" s="4" t="inlineStr">
        <is>
          <t>C</t>
        </is>
      </c>
      <c r="D14" s="4" t="inlineStr">
        <is>
          <t>FN-6</t>
        </is>
      </c>
      <c r="E14" s="4" t="inlineStr">
        <is>
          <t>Integración del plan de nómina, construido por Nómina en NM-6, al modelo financiero</t>
        </is>
      </c>
      <c r="F14" s="4" t="n">
        <v>7</v>
      </c>
      <c r="G14" s="4" t="inlineStr">
        <is>
          <t>F3</t>
        </is>
      </c>
      <c r="H14" s="5" t="n"/>
      <c r="I14" s="5" t="n"/>
      <c r="J14" s="4" t="inlineStr"/>
      <c r="K14" s="4" t="inlineStr"/>
      <c r="L14" s="5" t="n"/>
      <c r="M14" s="5" t="n"/>
      <c r="N14" s="7">
        <f>IF(AND(ISNUMBER(L14),ISNUMBER(M14)),L14*M14,"")</f>
        <v/>
      </c>
      <c r="O14" s="5" t="n"/>
      <c r="P14" s="7">
        <f>IF(AND(ISNUMBER(O14),ISNUMBER(M14)),O14*M14,"")</f>
        <v/>
      </c>
      <c r="Q14" s="7">
        <f>IF(AND(ISNUMBER(N14),ISNUMBER(P14)),N14-P14,"")</f>
        <v/>
      </c>
      <c r="R14" s="7">
        <f>IF(AND(ISNUMBER(Q14),ISNUMBER(Parámetros!$B$2)),Q14*Parámetros!$B$2,"")</f>
        <v/>
      </c>
      <c r="S14" s="5" t="n"/>
      <c r="T14" s="5" t="n"/>
      <c r="U14" s="7">
        <f>IF(COUNT(R14:T14)=0,"",SUM(R14:T14))</f>
        <v/>
      </c>
      <c r="V14" s="5" t="n"/>
      <c r="W14" s="5" t="n"/>
      <c r="X14" s="5" t="n"/>
      <c r="Y14" s="5" t="n"/>
      <c r="Z14" s="5" t="n"/>
    </row>
    <row r="15">
      <c r="A15" s="4" t="inlineStr">
        <is>
          <t>Finanzas</t>
        </is>
      </c>
      <c r="B15" s="4" t="inlineStr">
        <is>
          <t>Copilot</t>
        </is>
      </c>
      <c r="C15" s="4" t="inlineStr">
        <is>
          <t>C</t>
        </is>
      </c>
      <c r="D15" s="4" t="inlineStr">
        <is>
          <t>FN-7</t>
        </is>
      </c>
      <c r="E15" s="4" t="inlineStr">
        <is>
          <t>Consolidación</t>
        </is>
      </c>
      <c r="F15" s="4" t="n">
        <v>14</v>
      </c>
      <c r="G15" s="4" t="inlineStr">
        <is>
          <t>F3</t>
        </is>
      </c>
      <c r="H15" s="5" t="n"/>
      <c r="I15" s="5" t="n"/>
      <c r="J15" s="4" t="inlineStr"/>
      <c r="K15" s="4" t="inlineStr"/>
      <c r="L15" s="5" t="n"/>
      <c r="M15" s="5" t="n"/>
      <c r="N15" s="7">
        <f>IF(AND(ISNUMBER(L15),ISNUMBER(M15)),L15*M15,"")</f>
        <v/>
      </c>
      <c r="O15" s="5" t="n"/>
      <c r="P15" s="7">
        <f>IF(AND(ISNUMBER(O15),ISNUMBER(M15)),O15*M15,"")</f>
        <v/>
      </c>
      <c r="Q15" s="7">
        <f>IF(AND(ISNUMBER(N15),ISNUMBER(P15)),N15-P15,"")</f>
        <v/>
      </c>
      <c r="R15" s="7">
        <f>IF(AND(ISNUMBER(Q15),ISNUMBER(Parámetros!$B$2)),Q15*Parámetros!$B$2,"")</f>
        <v/>
      </c>
      <c r="S15" s="5" t="n"/>
      <c r="T15" s="5" t="n"/>
      <c r="U15" s="7">
        <f>IF(COUNT(R15:T15)=0,"",SUM(R15:T15))</f>
        <v/>
      </c>
      <c r="V15" s="5" t="n"/>
      <c r="W15" s="5" t="n"/>
      <c r="X15" s="5" t="n"/>
      <c r="Y15" s="5" t="n"/>
      <c r="Z15" s="5" t="n"/>
    </row>
    <row r="16">
      <c r="A16" s="4" t="inlineStr">
        <is>
          <t>Comercial Región Centro-Sur</t>
        </is>
      </c>
      <c r="B16" s="4" t="inlineStr">
        <is>
          <t>Copilot</t>
        </is>
      </c>
      <c r="C16" s="4" t="inlineStr">
        <is>
          <t>C</t>
        </is>
      </c>
      <c r="D16" s="4" t="inlineStr">
        <is>
          <t>CM-1</t>
        </is>
      </c>
      <c r="E16" s="4" t="inlineStr">
        <is>
          <t>Generador de creativos extendido al ciclo completo de activación y degustación</t>
        </is>
      </c>
      <c r="F16" s="4" t="n">
        <v>5</v>
      </c>
      <c r="G16" s="4" t="inlineStr">
        <is>
          <t>F1</t>
        </is>
      </c>
      <c r="H16" s="5" t="n"/>
      <c r="I16" s="5" t="n"/>
      <c r="J16" s="4" t="inlineStr"/>
      <c r="K16" s="4" t="inlineStr"/>
      <c r="L16" s="5" t="n"/>
      <c r="M16" s="5" t="n"/>
      <c r="N16" s="7">
        <f>IF(AND(ISNUMBER(L16),ISNUMBER(M16)),L16*M16,"")</f>
        <v/>
      </c>
      <c r="O16" s="5" t="n"/>
      <c r="P16" s="7">
        <f>IF(AND(ISNUMBER(O16),ISNUMBER(M16)),O16*M16,"")</f>
        <v/>
      </c>
      <c r="Q16" s="7">
        <f>IF(AND(ISNUMBER(N16),ISNUMBER(P16)),N16-P16,"")</f>
        <v/>
      </c>
      <c r="R16" s="7">
        <f>IF(AND(ISNUMBER(Q16),ISNUMBER(Parámetros!$B$2)),Q16*Parámetros!$B$2,"")</f>
        <v/>
      </c>
      <c r="S16" s="5" t="n"/>
      <c r="T16" s="5" t="n"/>
      <c r="U16" s="7">
        <f>IF(COUNT(R16:T16)=0,"",SUM(R16:T16))</f>
        <v/>
      </c>
      <c r="V16" s="5" t="n"/>
      <c r="W16" s="5" t="n"/>
      <c r="X16" s="5" t="n"/>
      <c r="Y16" s="5" t="n"/>
      <c r="Z16" s="5" t="n"/>
    </row>
    <row r="17">
      <c r="A17" s="4" t="inlineStr">
        <is>
          <t>Comercial Región Centro-Sur</t>
        </is>
      </c>
      <c r="B17" s="4" t="inlineStr">
        <is>
          <t>Copilot</t>
        </is>
      </c>
      <c r="C17" s="4" t="inlineStr">
        <is>
          <t>C</t>
        </is>
      </c>
      <c r="D17" s="4" t="inlineStr">
        <is>
          <t>CM-2</t>
        </is>
      </c>
      <c r="E17" s="4" t="inlineStr">
        <is>
          <t>Gestor de descuentos por cliente</t>
        </is>
      </c>
      <c r="F17" s="4" t="n">
        <v>11</v>
      </c>
      <c r="G17" s="4" t="inlineStr">
        <is>
          <t>F2</t>
        </is>
      </c>
      <c r="H17" s="5" t="n"/>
      <c r="I17" s="5" t="n"/>
      <c r="J17" s="4" t="inlineStr"/>
      <c r="K17" s="4" t="inlineStr"/>
      <c r="L17" s="5" t="n"/>
      <c r="M17" s="5" t="n"/>
      <c r="N17" s="7">
        <f>IF(AND(ISNUMBER(L17),ISNUMBER(M17)),L17*M17,"")</f>
        <v/>
      </c>
      <c r="O17" s="5" t="n"/>
      <c r="P17" s="7">
        <f>IF(AND(ISNUMBER(O17),ISNUMBER(M17)),O17*M17,"")</f>
        <v/>
      </c>
      <c r="Q17" s="7">
        <f>IF(AND(ISNUMBER(N17),ISNUMBER(P17)),N17-P17,"")</f>
        <v/>
      </c>
      <c r="R17" s="7">
        <f>IF(AND(ISNUMBER(Q17),ISNUMBER(Parámetros!$B$2)),Q17*Parámetros!$B$2,"")</f>
        <v/>
      </c>
      <c r="S17" s="5" t="n"/>
      <c r="T17" s="5" t="n"/>
      <c r="U17" s="7">
        <f>IF(COUNT(R17:T17)=0,"",SUM(R17:T17))</f>
        <v/>
      </c>
      <c r="V17" s="5" t="n"/>
      <c r="W17" s="5" t="n"/>
      <c r="X17" s="5" t="n"/>
      <c r="Y17" s="5" t="n"/>
      <c r="Z17" s="5" t="n"/>
    </row>
    <row r="18">
      <c r="A18" s="4" t="inlineStr">
        <is>
          <t>Comercial Región Centro-Sur</t>
        </is>
      </c>
      <c r="B18" s="4" t="inlineStr">
        <is>
          <t>Copilot</t>
        </is>
      </c>
      <c r="C18" s="4" t="inlineStr">
        <is>
          <t>C</t>
        </is>
      </c>
      <c r="D18" s="4" t="inlineStr">
        <is>
          <t>CM-3</t>
        </is>
      </c>
      <c r="E18" s="4" t="inlineStr">
        <is>
          <t>Diseñador de cabezal y exhibición en punto de venta; requiere el inventario de material POP (ver programa.md)</t>
        </is>
      </c>
      <c r="F18" s="4" t="n">
        <v>5</v>
      </c>
      <c r="G18" s="4" t="inlineStr">
        <is>
          <t>F3</t>
        </is>
      </c>
      <c r="H18" s="5" t="n"/>
      <c r="I18" s="5" t="n"/>
      <c r="J18" s="4" t="inlineStr"/>
      <c r="K18" s="4" t="inlineStr"/>
      <c r="L18" s="5" t="n"/>
      <c r="M18" s="5" t="n"/>
      <c r="N18" s="7">
        <f>IF(AND(ISNUMBER(L18),ISNUMBER(M18)),L18*M18,"")</f>
        <v/>
      </c>
      <c r="O18" s="5" t="n"/>
      <c r="P18" s="7">
        <f>IF(AND(ISNUMBER(O18),ISNUMBER(M18)),O18*M18,"")</f>
        <v/>
      </c>
      <c r="Q18" s="7">
        <f>IF(AND(ISNUMBER(N18),ISNUMBER(P18)),N18-P18,"")</f>
        <v/>
      </c>
      <c r="R18" s="7">
        <f>IF(AND(ISNUMBER(Q18),ISNUMBER(Parámetros!$B$2)),Q18*Parámetros!$B$2,"")</f>
        <v/>
      </c>
      <c r="S18" s="5" t="n"/>
      <c r="T18" s="5" t="n"/>
      <c r="U18" s="7">
        <f>IF(COUNT(R18:T18)=0,"",SUM(R18:T18))</f>
        <v/>
      </c>
      <c r="V18" s="5" t="n"/>
      <c r="W18" s="5" t="n"/>
      <c r="X18" s="5" t="n"/>
      <c r="Y18" s="5" t="n"/>
      <c r="Z18" s="5" t="n"/>
    </row>
    <row r="19">
      <c r="A19" s="4" t="inlineStr">
        <is>
          <t>Base de datos de empleados (proceso base)</t>
        </is>
      </c>
      <c r="B19" s="4" t="inlineStr">
        <is>
          <t>Claude Team</t>
        </is>
      </c>
      <c r="C19" s="4" t="inlineStr">
        <is>
          <t>A</t>
        </is>
      </c>
      <c r="D19" s="4" t="inlineStr">
        <is>
          <t>RH-0</t>
        </is>
      </c>
      <c r="E19" s="4" t="inlineStr">
        <is>
          <t>Orden de la base de datos de empleados y su carga familiar,</t>
        </is>
      </c>
      <c r="F19" s="4" t="n">
        <v>19</v>
      </c>
      <c r="G19" s="4" t="inlineStr">
        <is>
          <t>F1</t>
        </is>
      </c>
      <c r="H19" s="5" t="n"/>
      <c r="I19" s="5" t="n"/>
      <c r="J19" s="4" t="inlineStr">
        <is>
          <t>5 fuentes sin dato común; ficha numerada por separado en 18 compañías; ≈2.200 trabajadores en la base de Nómina; 2.516 personas en la base de Servicio Médico</t>
        </is>
      </c>
      <c r="K19" s="4" t="inlineStr">
        <is>
          <t>Informe de Detección; fichas de Nómina y Servicio Médico</t>
        </is>
      </c>
      <c r="L19" s="5" t="n"/>
      <c r="M19" s="5" t="n"/>
      <c r="N19" s="7">
        <f>IF(AND(ISNUMBER(L19),ISNUMBER(M19)),L19*M19,"")</f>
        <v/>
      </c>
      <c r="O19" s="5" t="n"/>
      <c r="P19" s="7">
        <f>IF(AND(ISNUMBER(O19),ISNUMBER(M19)),O19*M19,"")</f>
        <v/>
      </c>
      <c r="Q19" s="7">
        <f>IF(AND(ISNUMBER(N19),ISNUMBER(P19)),N19-P19,"")</f>
        <v/>
      </c>
      <c r="R19" s="7">
        <f>IF(AND(ISNUMBER(Q19),ISNUMBER(Parámetros!$B$2)),Q19*Parámetros!$B$2,"")</f>
        <v/>
      </c>
      <c r="S19" s="5" t="n"/>
      <c r="T19" s="5" t="n"/>
      <c r="U19" s="7">
        <f>IF(COUNT(R19:T19)=0,"",SUM(R19:T19))</f>
        <v/>
      </c>
      <c r="V19" s="5" t="n"/>
      <c r="W19" s="5" t="n"/>
      <c r="X19" s="5" t="n"/>
      <c r="Y19" s="5" t="n"/>
      <c r="Z19" s="5" t="n"/>
    </row>
    <row r="20">
      <c r="A20" s="4" t="inlineStr">
        <is>
          <t>Nómina</t>
        </is>
      </c>
      <c r="B20" s="4" t="inlineStr">
        <is>
          <t>Claude Team</t>
        </is>
      </c>
      <c r="C20" s="4" t="inlineStr">
        <is>
          <t>A</t>
        </is>
      </c>
      <c r="D20" s="4" t="inlineStr">
        <is>
          <t>NM-1</t>
        </is>
      </c>
      <c r="E20" s="4" t="inlineStr">
        <is>
          <t>Solicitudes de pago parafiscales (Seguro Social, FAOV, INCES, sindicato y pensiones) para 10 a (ver programa.md)</t>
        </is>
      </c>
      <c r="F20" s="4" t="n">
        <v>17</v>
      </c>
      <c r="G20" s="4" t="inlineStr">
        <is>
          <t>F1</t>
        </is>
      </c>
      <c r="H20" s="5" t="n"/>
      <c r="I20" s="5" t="n"/>
      <c r="J20" s="4" t="inlineStr">
        <is>
          <t>4 servicios (Seguro Social, FAOV, INCES, sindicato y pensiones) en 10 a 15 empresas, cada mes, en los primeros 5 días hábiles</t>
        </is>
      </c>
      <c r="K20" s="4" t="inlineStr">
        <is>
          <t>Ficha de levantamiento de Nómina, 01/10/2026. Horas por ejecución: No declarado</t>
        </is>
      </c>
      <c r="L20" s="5" t="n"/>
      <c r="M20" s="5" t="n"/>
      <c r="N20" s="7">
        <f>IF(AND(ISNUMBER(L20),ISNUMBER(M20)),L20*M20,"")</f>
        <v/>
      </c>
      <c r="O20" s="5" t="n"/>
      <c r="P20" s="7">
        <f>IF(AND(ISNUMBER(O20),ISNUMBER(M20)),O20*M20,"")</f>
        <v/>
      </c>
      <c r="Q20" s="7">
        <f>IF(AND(ISNUMBER(N20),ISNUMBER(P20)),N20-P20,"")</f>
        <v/>
      </c>
      <c r="R20" s="7">
        <f>IF(AND(ISNUMBER(Q20),ISNUMBER(Parámetros!$B$2)),Q20*Parámetros!$B$2,"")</f>
        <v/>
      </c>
      <c r="S20" s="5" t="n"/>
      <c r="T20" s="5" t="n"/>
      <c r="U20" s="7">
        <f>IF(COUNT(R20:T20)=0,"",SUM(R20:T20))</f>
        <v/>
      </c>
      <c r="V20" s="5" t="n"/>
      <c r="W20" s="5" t="n"/>
      <c r="X20" s="5" t="n"/>
      <c r="Y20" s="5" t="n"/>
      <c r="Z20" s="5" t="n"/>
    </row>
    <row r="21">
      <c r="A21" s="4" t="inlineStr">
        <is>
          <t>Nómina</t>
        </is>
      </c>
      <c r="B21" s="4" t="inlineStr">
        <is>
          <t>Claude Team</t>
        </is>
      </c>
      <c r="C21" s="4" t="inlineStr">
        <is>
          <t>A</t>
        </is>
      </c>
      <c r="D21" s="4" t="inlineStr">
        <is>
          <t>NM-2</t>
        </is>
      </c>
      <c r="E21" s="4" t="inlineStr">
        <is>
          <t>Validador de vacaciones sobre la exportación semanal del control de SPI, primer contacto del (ver programa.md)</t>
        </is>
      </c>
      <c r="F21" s="4" t="n">
        <v>10</v>
      </c>
      <c r="G21" s="4" t="inlineStr">
        <is>
          <t>F1</t>
        </is>
      </c>
      <c r="H21" s="5" t="n"/>
      <c r="I21" s="5" t="n"/>
      <c r="J21" s="4" t="inlineStr">
        <is>
          <t>Validación semanal, los lunes; volumen de solicitudes no declarado</t>
        </is>
      </c>
      <c r="K21" s="4" t="inlineStr">
        <is>
          <t>Ficha de Nómina, 01/10/2026</t>
        </is>
      </c>
      <c r="L21" s="5" t="n"/>
      <c r="M21" s="5" t="n"/>
      <c r="N21" s="7">
        <f>IF(AND(ISNUMBER(L21),ISNUMBER(M21)),L21*M21,"")</f>
        <v/>
      </c>
      <c r="O21" s="5" t="n"/>
      <c r="P21" s="7">
        <f>IF(AND(ISNUMBER(O21),ISNUMBER(M21)),O21*M21,"")</f>
        <v/>
      </c>
      <c r="Q21" s="7">
        <f>IF(AND(ISNUMBER(N21),ISNUMBER(P21)),N21-P21,"")</f>
        <v/>
      </c>
      <c r="R21" s="7">
        <f>IF(AND(ISNUMBER(Q21),ISNUMBER(Parámetros!$B$2)),Q21*Parámetros!$B$2,"")</f>
        <v/>
      </c>
      <c r="S21" s="5" t="n"/>
      <c r="T21" s="5" t="n"/>
      <c r="U21" s="7">
        <f>IF(COUNT(R21:T21)=0,"",SUM(R21:T21))</f>
        <v/>
      </c>
      <c r="V21" s="5" t="n"/>
      <c r="W21" s="5" t="n"/>
      <c r="X21" s="5" t="n"/>
      <c r="Y21" s="5" t="n"/>
      <c r="Z21" s="5" t="n"/>
    </row>
    <row r="22">
      <c r="A22" s="4" t="inlineStr">
        <is>
          <t>Nómina</t>
        </is>
      </c>
      <c r="B22" s="4" t="inlineStr">
        <is>
          <t>Claude Team</t>
        </is>
      </c>
      <c r="C22" s="4" t="inlineStr">
        <is>
          <t>A</t>
        </is>
      </c>
      <c r="D22" s="4" t="inlineStr">
        <is>
          <t>NM-3</t>
        </is>
      </c>
      <c r="E22" s="4" t="inlineStr">
        <is>
          <t>Notificaciones</t>
        </is>
      </c>
      <c r="F22" s="4" t="n">
        <v>15</v>
      </c>
      <c r="G22" s="4" t="inlineStr">
        <is>
          <t>F2</t>
        </is>
      </c>
      <c r="H22" s="5" t="n"/>
      <c r="I22" s="5" t="n"/>
      <c r="J22" s="4" t="inlineStr">
        <is>
          <t>Retiros de fideicomiso semanales (abono los viernes); volumen no declarado</t>
        </is>
      </c>
      <c r="K22" s="4" t="inlineStr">
        <is>
          <t>Ficha de Nómina, 01/10/2026</t>
        </is>
      </c>
      <c r="L22" s="5" t="n"/>
      <c r="M22" s="5" t="n"/>
      <c r="N22" s="7">
        <f>IF(AND(ISNUMBER(L22),ISNUMBER(M22)),L22*M22,"")</f>
        <v/>
      </c>
      <c r="O22" s="5" t="n"/>
      <c r="P22" s="7">
        <f>IF(AND(ISNUMBER(O22),ISNUMBER(M22)),O22*M22,"")</f>
        <v/>
      </c>
      <c r="Q22" s="7">
        <f>IF(AND(ISNUMBER(N22),ISNUMBER(P22)),N22-P22,"")</f>
        <v/>
      </c>
      <c r="R22" s="7">
        <f>IF(AND(ISNUMBER(Q22),ISNUMBER(Parámetros!$B$2)),Q22*Parámetros!$B$2,"")</f>
        <v/>
      </c>
      <c r="S22" s="5" t="n"/>
      <c r="T22" s="5" t="n"/>
      <c r="U22" s="7">
        <f>IF(COUNT(R22:T22)=0,"",SUM(R22:T22))</f>
        <v/>
      </c>
      <c r="V22" s="5" t="n"/>
      <c r="W22" s="5" t="n"/>
      <c r="X22" s="5" t="n"/>
      <c r="Y22" s="5" t="n"/>
      <c r="Z22" s="5" t="n"/>
    </row>
    <row r="23">
      <c r="A23" s="4" t="inlineStr">
        <is>
          <t>Nómina</t>
        </is>
      </c>
      <c r="B23" s="4" t="inlineStr">
        <is>
          <t>Claude Team</t>
        </is>
      </c>
      <c r="C23" s="4" t="inlineStr">
        <is>
          <t>A</t>
        </is>
      </c>
      <c r="D23" s="4" t="inlineStr">
        <is>
          <t>NM-4</t>
        </is>
      </c>
      <c r="E23" s="4" t="inlineStr">
        <is>
          <t>Flujo completo de parafiscales con Registro y Tesorería</t>
        </is>
      </c>
      <c r="F23" s="4" t="n">
        <v>13</v>
      </c>
      <c r="G23" s="4" t="inlineStr">
        <is>
          <t>F2</t>
        </is>
      </c>
      <c r="H23" s="5" t="n"/>
      <c r="I23" s="5" t="n"/>
      <c r="J23" s="4" t="inlineStr">
        <is>
          <t>Expediente por empresa y servicio; los soportes hoy quedan dispersos entre correos y una carpeta local</t>
        </is>
      </c>
      <c r="K23" s="4" t="inlineStr">
        <is>
          <t>Ficha de Nómina, 01/10/2026</t>
        </is>
      </c>
      <c r="L23" s="5" t="n"/>
      <c r="M23" s="5" t="n"/>
      <c r="N23" s="7">
        <f>IF(AND(ISNUMBER(L23),ISNUMBER(M23)),L23*M23,"")</f>
        <v/>
      </c>
      <c r="O23" s="5" t="n"/>
      <c r="P23" s="7">
        <f>IF(AND(ISNUMBER(O23),ISNUMBER(M23)),O23*M23,"")</f>
        <v/>
      </c>
      <c r="Q23" s="7">
        <f>IF(AND(ISNUMBER(N23),ISNUMBER(P23)),N23-P23,"")</f>
        <v/>
      </c>
      <c r="R23" s="7">
        <f>IF(AND(ISNUMBER(Q23),ISNUMBER(Parámetros!$B$2)),Q23*Parámetros!$B$2,"")</f>
        <v/>
      </c>
      <c r="S23" s="5" t="n"/>
      <c r="T23" s="5" t="n"/>
      <c r="U23" s="7">
        <f>IF(COUNT(R23:T23)=0,"",SUM(R23:T23))</f>
        <v/>
      </c>
      <c r="V23" s="5" t="n"/>
      <c r="W23" s="5" t="n"/>
      <c r="X23" s="5" t="n"/>
      <c r="Y23" s="5" t="n"/>
      <c r="Z23" s="5" t="n"/>
    </row>
    <row r="24">
      <c r="A24" s="4" t="inlineStr">
        <is>
          <t>Nómina</t>
        </is>
      </c>
      <c r="B24" s="4" t="inlineStr">
        <is>
          <t>Claude Team</t>
        </is>
      </c>
      <c r="C24" s="4" t="inlineStr">
        <is>
          <t>A</t>
        </is>
      </c>
      <c r="D24" s="4" t="inlineStr">
        <is>
          <t>NM-5</t>
        </is>
      </c>
      <c r="E24" s="4" t="inlineStr">
        <is>
          <t>Validador de préstamos</t>
        </is>
      </c>
      <c r="F24" s="4" t="n">
        <v>12</v>
      </c>
      <c r="G24" s="4" t="inlineStr">
        <is>
          <t>F3</t>
        </is>
      </c>
      <c r="H24" s="5" t="n"/>
      <c r="I24" s="5" t="n"/>
      <c r="J24" s="4" t="inlineStr">
        <is>
          <t>Préstamos semanales; el sindicato administra cupos: 4 personales y 3 de electrodomésticos por semana, 6 de vivienda al mes</t>
        </is>
      </c>
      <c r="K24" s="4" t="inlineStr">
        <is>
          <t>Ficha de Nómina, 01/10/2026</t>
        </is>
      </c>
      <c r="L24" s="5" t="n"/>
      <c r="M24" s="5" t="n"/>
      <c r="N24" s="7">
        <f>IF(AND(ISNUMBER(L24),ISNUMBER(M24)),L24*M24,"")</f>
        <v/>
      </c>
      <c r="O24" s="5" t="n"/>
      <c r="P24" s="7">
        <f>IF(AND(ISNUMBER(O24),ISNUMBER(M24)),O24*M24,"")</f>
        <v/>
      </c>
      <c r="Q24" s="7">
        <f>IF(AND(ISNUMBER(N24),ISNUMBER(P24)),N24-P24,"")</f>
        <v/>
      </c>
      <c r="R24" s="7">
        <f>IF(AND(ISNUMBER(Q24),ISNUMBER(Parámetros!$B$2)),Q24*Parámetros!$B$2,"")</f>
        <v/>
      </c>
      <c r="S24" s="5" t="n"/>
      <c r="T24" s="5" t="n"/>
      <c r="U24" s="7">
        <f>IF(COUNT(R24:T24)=0,"",SUM(R24:T24))</f>
        <v/>
      </c>
      <c r="V24" s="5" t="n"/>
      <c r="W24" s="5" t="n"/>
      <c r="X24" s="5" t="n"/>
      <c r="Y24" s="5" t="n"/>
      <c r="Z24" s="5" t="n"/>
    </row>
    <row r="25">
      <c r="A25" s="4" t="inlineStr">
        <is>
          <t>Nómina</t>
        </is>
      </c>
      <c r="B25" s="4" t="inlineStr">
        <is>
          <t>Claude Team</t>
        </is>
      </c>
      <c r="C25" s="4" t="inlineStr">
        <is>
          <t>A</t>
        </is>
      </c>
      <c r="D25" s="4" t="inlineStr">
        <is>
          <t>NM-6</t>
        </is>
      </c>
      <c r="E25" s="4" t="inlineStr">
        <is>
          <t>Plan y presupuesto de nómina sobre la base de conocimiento laboral del líder (ley, convención, (ver programa.md)</t>
        </is>
      </c>
      <c r="F25" s="4" t="n">
        <v>15</v>
      </c>
      <c r="G25" s="4" t="inlineStr">
        <is>
          <t>F3</t>
        </is>
      </c>
      <c r="H25" s="5" t="n"/>
      <c r="I25" s="5" t="n"/>
      <c r="J25" s="4" t="inlineStr"/>
      <c r="K25" s="4" t="inlineStr"/>
      <c r="L25" s="5" t="n"/>
      <c r="M25" s="5" t="n"/>
      <c r="N25" s="7">
        <f>IF(AND(ISNUMBER(L25),ISNUMBER(M25)),L25*M25,"")</f>
        <v/>
      </c>
      <c r="O25" s="5" t="n"/>
      <c r="P25" s="7">
        <f>IF(AND(ISNUMBER(O25),ISNUMBER(M25)),O25*M25,"")</f>
        <v/>
      </c>
      <c r="Q25" s="7">
        <f>IF(AND(ISNUMBER(N25),ISNUMBER(P25)),N25-P25,"")</f>
        <v/>
      </c>
      <c r="R25" s="7">
        <f>IF(AND(ISNUMBER(Q25),ISNUMBER(Parámetros!$B$2)),Q25*Parámetros!$B$2,"")</f>
        <v/>
      </c>
      <c r="S25" s="5" t="n"/>
      <c r="T25" s="5" t="n"/>
      <c r="U25" s="7">
        <f>IF(COUNT(R25:T25)=0,"",SUM(R25:T25))</f>
        <v/>
      </c>
      <c r="V25" s="5" t="n"/>
      <c r="W25" s="5" t="n"/>
      <c r="X25" s="5" t="n"/>
      <c r="Y25" s="5" t="n"/>
      <c r="Z25" s="5" t="n"/>
    </row>
    <row r="26">
      <c r="A26" s="4" t="inlineStr">
        <is>
          <t>Servicio Médico</t>
        </is>
      </c>
      <c r="B26" s="4" t="inlineStr">
        <is>
          <t>Claude Team</t>
        </is>
      </c>
      <c r="C26" s="4" t="inlineStr">
        <is>
          <t>A</t>
        </is>
      </c>
      <c r="D26" s="4" t="inlineStr">
        <is>
          <t>SM-1</t>
        </is>
      </c>
      <c r="E26" s="4" t="inlineStr">
        <is>
          <t>Adopción por el equipo de los agentes de morbilidad (con familiares) y certificados de salud, (ver programa.md)</t>
        </is>
      </c>
      <c r="F26" s="4" t="n">
        <v>11</v>
      </c>
      <c r="G26" s="4" t="inlineStr">
        <is>
          <t>F1</t>
        </is>
      </c>
      <c r="H26" s="5" t="n"/>
      <c r="I26" s="5" t="n"/>
      <c r="J26" s="4" t="inlineStr">
        <is>
          <t>Análisis de morbilidad mensual: casi una jornada por ejecución (manual). Certificados de salud a requerimiento: unos 3 días por informe (manual)</t>
        </is>
      </c>
      <c r="K26" s="4" t="inlineStr">
        <is>
          <t>Ficha de Servicio Médico, 01-02/10/2026. Los 10 minutos del agente no incluyen insumos ni revisión: no es ahorro neto</t>
        </is>
      </c>
      <c r="L26" s="5" t="n"/>
      <c r="M26" s="5" t="n"/>
      <c r="N26" s="7">
        <f>IF(AND(ISNUMBER(L26),ISNUMBER(M26)),L26*M26,"")</f>
        <v/>
      </c>
      <c r="O26" s="5" t="n"/>
      <c r="P26" s="7">
        <f>IF(AND(ISNUMBER(O26),ISNUMBER(M26)),O26*M26,"")</f>
        <v/>
      </c>
      <c r="Q26" s="7">
        <f>IF(AND(ISNUMBER(N26),ISNUMBER(P26)),N26-P26,"")</f>
        <v/>
      </c>
      <c r="R26" s="7">
        <f>IF(AND(ISNUMBER(Q26),ISNUMBER(Parámetros!$B$2)),Q26*Parámetros!$B$2,"")</f>
        <v/>
      </c>
      <c r="S26" s="5" t="n"/>
      <c r="T26" s="5" t="n"/>
      <c r="U26" s="7">
        <f>IF(COUNT(R26:T26)=0,"",SUM(R26:T26))</f>
        <v/>
      </c>
      <c r="V26" s="5" t="n"/>
      <c r="W26" s="5" t="n"/>
      <c r="X26" s="5" t="n"/>
      <c r="Y26" s="5" t="n"/>
      <c r="Z26" s="5" t="n"/>
    </row>
    <row r="27">
      <c r="A27" s="4" t="inlineStr">
        <is>
          <t>Servicio Médico</t>
        </is>
      </c>
      <c r="B27" s="4" t="inlineStr">
        <is>
          <t>Claude Team</t>
        </is>
      </c>
      <c r="C27" s="4" t="inlineStr">
        <is>
          <t>A</t>
        </is>
      </c>
      <c r="D27" s="4" t="inlineStr">
        <is>
          <t>SM-2</t>
        </is>
      </c>
      <c r="E27" s="4" t="inlineStr">
        <is>
          <t>Tratamiento crónico</t>
        </is>
      </c>
      <c r="F27" s="4" t="n">
        <v>15</v>
      </c>
      <c r="G27" s="4" t="inlineStr">
        <is>
          <t>F1</t>
        </is>
      </c>
      <c r="H27" s="5" t="n"/>
      <c r="I27" s="5" t="n"/>
      <c r="J27" s="4" t="inlineStr">
        <is>
          <t>Despacho mensual del tratamiento crónico: 1.471 medicamentos en el pedido</t>
        </is>
      </c>
      <c r="K27" s="4" t="inlineStr">
        <is>
          <t>Ficha de Servicio Médico, 01-02/10/2026</t>
        </is>
      </c>
      <c r="L27" s="5" t="n"/>
      <c r="M27" s="5" t="n"/>
      <c r="N27" s="7">
        <f>IF(AND(ISNUMBER(L27),ISNUMBER(M27)),L27*M27,"")</f>
        <v/>
      </c>
      <c r="O27" s="5" t="n"/>
      <c r="P27" s="7">
        <f>IF(AND(ISNUMBER(O27),ISNUMBER(M27)),O27*M27,"")</f>
        <v/>
      </c>
      <c r="Q27" s="7">
        <f>IF(AND(ISNUMBER(N27),ISNUMBER(P27)),N27-P27,"")</f>
        <v/>
      </c>
      <c r="R27" s="7">
        <f>IF(AND(ISNUMBER(Q27),ISNUMBER(Parámetros!$B$2)),Q27*Parámetros!$B$2,"")</f>
        <v/>
      </c>
      <c r="S27" s="5" t="n"/>
      <c r="T27" s="5" t="n"/>
      <c r="U27" s="7">
        <f>IF(COUNT(R27:T27)=0,"",SUM(R27:T27))</f>
        <v/>
      </c>
      <c r="V27" s="5" t="n"/>
      <c r="W27" s="5" t="n"/>
      <c r="X27" s="5" t="n"/>
      <c r="Y27" s="5" t="n"/>
      <c r="Z27" s="5" t="n"/>
    </row>
    <row r="28">
      <c r="A28" s="4" t="inlineStr">
        <is>
          <t>Servicio Médico</t>
        </is>
      </c>
      <c r="B28" s="4" t="inlineStr">
        <is>
          <t>Claude Team</t>
        </is>
      </c>
      <c r="C28" s="4" t="inlineStr">
        <is>
          <t>A</t>
        </is>
      </c>
      <c r="D28" s="4" t="inlineStr">
        <is>
          <t>SM-3</t>
        </is>
      </c>
      <c r="E28" s="4" t="inlineStr">
        <is>
          <t>Trazabilidad de órdenes de referencia</t>
        </is>
      </c>
      <c r="F28" s="4" t="n">
        <v>12</v>
      </c>
      <c r="G28" s="4" t="inlineStr">
        <is>
          <t>F2</t>
        </is>
      </c>
      <c r="H28" s="5" t="n"/>
      <c r="I28" s="5" t="n"/>
      <c r="J28" s="4" t="inlineStr"/>
      <c r="K28" s="4" t="inlineStr"/>
      <c r="L28" s="5" t="n"/>
      <c r="M28" s="5" t="n"/>
      <c r="N28" s="7">
        <f>IF(AND(ISNUMBER(L28),ISNUMBER(M28)),L28*M28,"")</f>
        <v/>
      </c>
      <c r="O28" s="5" t="n"/>
      <c r="P28" s="7">
        <f>IF(AND(ISNUMBER(O28),ISNUMBER(M28)),O28*M28,"")</f>
        <v/>
      </c>
      <c r="Q28" s="7">
        <f>IF(AND(ISNUMBER(N28),ISNUMBER(P28)),N28-P28,"")</f>
        <v/>
      </c>
      <c r="R28" s="7">
        <f>IF(AND(ISNUMBER(Q28),ISNUMBER(Parámetros!$B$2)),Q28*Parámetros!$B$2,"")</f>
        <v/>
      </c>
      <c r="S28" s="5" t="n"/>
      <c r="T28" s="5" t="n"/>
      <c r="U28" s="7">
        <f>IF(COUNT(R28:T28)=0,"",SUM(R28:T28))</f>
        <v/>
      </c>
      <c r="V28" s="5" t="n"/>
      <c r="W28" s="5" t="n"/>
      <c r="X28" s="5" t="n"/>
      <c r="Y28" s="5" t="n"/>
      <c r="Z28" s="5" t="n"/>
    </row>
    <row r="29">
      <c r="A29" s="4" t="inlineStr">
        <is>
          <t>Servicio Médico</t>
        </is>
      </c>
      <c r="B29" s="4" t="inlineStr">
        <is>
          <t>Claude Team</t>
        </is>
      </c>
      <c r="C29" s="4" t="inlineStr">
        <is>
          <t>A</t>
        </is>
      </c>
      <c r="D29" s="4" t="inlineStr">
        <is>
          <t>SM-4</t>
        </is>
      </c>
      <c r="E29" s="4" t="inlineStr">
        <is>
          <t>Prevalidación documental</t>
        </is>
      </c>
      <c r="F29" s="4" t="n">
        <v>14</v>
      </c>
      <c r="G29" s="4" t="inlineStr">
        <is>
          <t>F2</t>
        </is>
      </c>
      <c r="H29" s="5" t="n"/>
      <c r="I29" s="5" t="n"/>
      <c r="J29" s="4" t="inlineStr">
        <is>
          <t>Base de 2.516 personas (beneficiarios)</t>
        </is>
      </c>
      <c r="K29" s="4" t="inlineStr">
        <is>
          <t>Ficha de Servicio Médico, 01-02/10/2026</t>
        </is>
      </c>
      <c r="L29" s="5" t="n"/>
      <c r="M29" s="5" t="n"/>
      <c r="N29" s="7">
        <f>IF(AND(ISNUMBER(L29),ISNUMBER(M29)),L29*M29,"")</f>
        <v/>
      </c>
      <c r="O29" s="5" t="n"/>
      <c r="P29" s="7">
        <f>IF(AND(ISNUMBER(O29),ISNUMBER(M29)),O29*M29,"")</f>
        <v/>
      </c>
      <c r="Q29" s="7">
        <f>IF(AND(ISNUMBER(N29),ISNUMBER(P29)),N29-P29,"")</f>
        <v/>
      </c>
      <c r="R29" s="7">
        <f>IF(AND(ISNUMBER(Q29),ISNUMBER(Parámetros!$B$2)),Q29*Parámetros!$B$2,"")</f>
        <v/>
      </c>
      <c r="S29" s="5" t="n"/>
      <c r="T29" s="5" t="n"/>
      <c r="U29" s="7">
        <f>IF(COUNT(R29:T29)=0,"",SUM(R29:T29))</f>
        <v/>
      </c>
      <c r="V29" s="5" t="n"/>
      <c r="W29" s="5" t="n"/>
      <c r="X29" s="5" t="n"/>
      <c r="Y29" s="5" t="n"/>
      <c r="Z29" s="5" t="n"/>
    </row>
    <row r="30">
      <c r="A30" s="4" t="inlineStr">
        <is>
          <t>Servicio Médico</t>
        </is>
      </c>
      <c r="B30" s="4" t="inlineStr">
        <is>
          <t>Claude Team</t>
        </is>
      </c>
      <c r="C30" s="4" t="inlineStr">
        <is>
          <t>A</t>
        </is>
      </c>
      <c r="D30" s="4" t="inlineStr">
        <is>
          <t>SM-5</t>
        </is>
      </c>
      <c r="E30" s="4" t="inlineStr">
        <is>
          <t>Coberturas y costo consolidado por beneficiario (servicio médico y HCM), con alerta de (ver programa.md)</t>
        </is>
      </c>
      <c r="F30" s="4" t="n">
        <v>11</v>
      </c>
      <c r="G30" s="4" t="inlineStr">
        <is>
          <t>F3</t>
        </is>
      </c>
      <c r="H30" s="5" t="n"/>
      <c r="I30" s="5" t="n"/>
      <c r="J30" s="4" t="inlineStr"/>
      <c r="K30" s="4" t="inlineStr"/>
      <c r="L30" s="5" t="n"/>
      <c r="M30" s="5" t="n"/>
      <c r="N30" s="7">
        <f>IF(AND(ISNUMBER(L30),ISNUMBER(M30)),L30*M30,"")</f>
        <v/>
      </c>
      <c r="O30" s="5" t="n"/>
      <c r="P30" s="7">
        <f>IF(AND(ISNUMBER(O30),ISNUMBER(M30)),O30*M30,"")</f>
        <v/>
      </c>
      <c r="Q30" s="7">
        <f>IF(AND(ISNUMBER(N30),ISNUMBER(P30)),N30-P30,"")</f>
        <v/>
      </c>
      <c r="R30" s="7">
        <f>IF(AND(ISNUMBER(Q30),ISNUMBER(Parámetros!$B$2)),Q30*Parámetros!$B$2,"")</f>
        <v/>
      </c>
      <c r="S30" s="5" t="n"/>
      <c r="T30" s="5" t="n"/>
      <c r="U30" s="7">
        <f>IF(COUNT(R30:T30)=0,"",SUM(R30:T30))</f>
        <v/>
      </c>
      <c r="V30" s="5" t="n"/>
      <c r="W30" s="5" t="n"/>
      <c r="X30" s="5" t="n"/>
      <c r="Y30" s="5" t="n"/>
      <c r="Z30" s="5" t="n"/>
    </row>
    <row r="31">
      <c r="A31" s="4" t="inlineStr">
        <is>
          <t>Gestión Contable RRHH</t>
        </is>
      </c>
      <c r="B31" s="4" t="inlineStr">
        <is>
          <t>Claude Team</t>
        </is>
      </c>
      <c r="C31" s="4" t="inlineStr">
        <is>
          <t>A</t>
        </is>
      </c>
      <c r="D31" s="4" t="inlineStr">
        <is>
          <t>GC-1</t>
        </is>
      </c>
      <c r="E31" s="4" t="inlineStr">
        <is>
          <t>Registro completo de facturas de salud</t>
        </is>
      </c>
      <c r="F31" s="4" t="n">
        <v>15</v>
      </c>
      <c r="G31" s="4" t="inlineStr">
        <is>
          <t>F1</t>
        </is>
      </c>
      <c r="H31" s="5" t="n"/>
      <c r="I31" s="5" t="n"/>
      <c r="J31" s="4" t="inlineStr"/>
      <c r="K31" s="4" t="inlineStr"/>
      <c r="L31" s="5" t="n"/>
      <c r="M31" s="5" t="n"/>
      <c r="N31" s="7">
        <f>IF(AND(ISNUMBER(L31),ISNUMBER(M31)),L31*M31,"")</f>
        <v/>
      </c>
      <c r="O31" s="5" t="n"/>
      <c r="P31" s="7">
        <f>IF(AND(ISNUMBER(O31),ISNUMBER(M31)),O31*M31,"")</f>
        <v/>
      </c>
      <c r="Q31" s="7">
        <f>IF(AND(ISNUMBER(N31),ISNUMBER(P31)),N31-P31,"")</f>
        <v/>
      </c>
      <c r="R31" s="7">
        <f>IF(AND(ISNUMBER(Q31),ISNUMBER(Parámetros!$B$2)),Q31*Parámetros!$B$2,"")</f>
        <v/>
      </c>
      <c r="S31" s="5" t="n"/>
      <c r="T31" s="5" t="n"/>
      <c r="U31" s="7">
        <f>IF(COUNT(R31:T31)=0,"",SUM(R31:T31))</f>
        <v/>
      </c>
      <c r="V31" s="5" t="n"/>
      <c r="W31" s="5" t="n"/>
      <c r="X31" s="5" t="n"/>
      <c r="Y31" s="5" t="n"/>
      <c r="Z31" s="5" t="n"/>
    </row>
    <row r="32">
      <c r="A32" s="4" t="inlineStr">
        <is>
          <t>Gestión Contable RRHH</t>
        </is>
      </c>
      <c r="B32" s="4" t="inlineStr">
        <is>
          <t>Claude Team</t>
        </is>
      </c>
      <c r="C32" s="4" t="inlineStr">
        <is>
          <t>A</t>
        </is>
      </c>
      <c r="D32" s="4" t="inlineStr">
        <is>
          <t>GC-2</t>
        </is>
      </c>
      <c r="E32" s="4" t="inlineStr">
        <is>
          <t>Revisión por muestreo de gastos de representación y de vehículos, con conciliación de saldos; (ver programa.md)</t>
        </is>
      </c>
      <c r="F32" s="4" t="n">
        <v>10</v>
      </c>
      <c r="G32" s="4" t="inlineStr">
        <is>
          <t>F2</t>
        </is>
      </c>
      <c r="H32" s="5" t="n"/>
      <c r="I32" s="5" t="n"/>
      <c r="J32" s="4" t="inlineStr"/>
      <c r="K32" s="4" t="inlineStr"/>
      <c r="L32" s="5" t="n"/>
      <c r="M32" s="5" t="n"/>
      <c r="N32" s="7">
        <f>IF(AND(ISNUMBER(L32),ISNUMBER(M32)),L32*M32,"")</f>
        <v/>
      </c>
      <c r="O32" s="5" t="n"/>
      <c r="P32" s="7">
        <f>IF(AND(ISNUMBER(O32),ISNUMBER(M32)),O32*M32,"")</f>
        <v/>
      </c>
      <c r="Q32" s="7">
        <f>IF(AND(ISNUMBER(N32),ISNUMBER(P32)),N32-P32,"")</f>
        <v/>
      </c>
      <c r="R32" s="7">
        <f>IF(AND(ISNUMBER(Q32),ISNUMBER(Parámetros!$B$2)),Q32*Parámetros!$B$2,"")</f>
        <v/>
      </c>
      <c r="S32" s="5" t="n"/>
      <c r="T32" s="5" t="n"/>
      <c r="U32" s="7">
        <f>IF(COUNT(R32:T32)=0,"",SUM(R32:T32))</f>
        <v/>
      </c>
      <c r="V32" s="5" t="n"/>
      <c r="W32" s="5" t="n"/>
      <c r="X32" s="5" t="n"/>
      <c r="Y32" s="5" t="n"/>
      <c r="Z32" s="5" t="n"/>
    </row>
    <row r="33">
      <c r="A33" s="4" t="inlineStr">
        <is>
          <t>Gestión Contable RRHH</t>
        </is>
      </c>
      <c r="B33" s="4" t="inlineStr">
        <is>
          <t>Claude Team</t>
        </is>
      </c>
      <c r="C33" s="4" t="inlineStr">
        <is>
          <t>A</t>
        </is>
      </c>
      <c r="D33" s="4" t="inlineStr">
        <is>
          <t>GC-3</t>
        </is>
      </c>
      <c r="E33" s="4" t="inlineStr">
        <is>
          <t>Distribución de la factura HCM por beneficiario, plan y centro de costo, sobre la base única</t>
        </is>
      </c>
      <c r="F33" s="4" t="n">
        <v>10</v>
      </c>
      <c r="G33" s="4" t="inlineStr">
        <is>
          <t>F3</t>
        </is>
      </c>
      <c r="H33" s="5" t="n"/>
      <c r="I33" s="5" t="n"/>
      <c r="J33" s="4" t="inlineStr"/>
      <c r="K33" s="4" t="inlineStr"/>
      <c r="L33" s="5" t="n"/>
      <c r="M33" s="5" t="n"/>
      <c r="N33" s="7">
        <f>IF(AND(ISNUMBER(L33),ISNUMBER(M33)),L33*M33,"")</f>
        <v/>
      </c>
      <c r="O33" s="5" t="n"/>
      <c r="P33" s="7">
        <f>IF(AND(ISNUMBER(O33),ISNUMBER(M33)),O33*M33,"")</f>
        <v/>
      </c>
      <c r="Q33" s="7">
        <f>IF(AND(ISNUMBER(N33),ISNUMBER(P33)),N33-P33,"")</f>
        <v/>
      </c>
      <c r="R33" s="7">
        <f>IF(AND(ISNUMBER(Q33),ISNUMBER(Parámetros!$B$2)),Q33*Parámetros!$B$2,"")</f>
        <v/>
      </c>
      <c r="S33" s="5" t="n"/>
      <c r="T33" s="5" t="n"/>
      <c r="U33" s="7">
        <f>IF(COUNT(R33:T33)=0,"",SUM(R33:T33))</f>
        <v/>
      </c>
      <c r="V33" s="5" t="n"/>
      <c r="W33" s="5" t="n"/>
      <c r="X33" s="5" t="n"/>
      <c r="Y33" s="5" t="n"/>
      <c r="Z33" s="5" t="n"/>
    </row>
    <row r="34">
      <c r="A34" s="4" t="inlineStr">
        <is>
          <t>Gestión Contable RRHH</t>
        </is>
      </c>
      <c r="B34" s="4" t="inlineStr">
        <is>
          <t>Claude Team</t>
        </is>
      </c>
      <c r="C34" s="4" t="inlineStr">
        <is>
          <t>A</t>
        </is>
      </c>
      <c r="D34" s="4" t="inlineStr">
        <is>
          <t>GC-4</t>
        </is>
      </c>
      <c r="E34" s="4" t="inlineStr">
        <is>
          <t>Tablero de ejecución presupuestaria de Recursos Humanos</t>
        </is>
      </c>
      <c r="F34" s="4" t="n">
        <v>9</v>
      </c>
      <c r="G34" s="4" t="inlineStr">
        <is>
          <t>F3</t>
        </is>
      </c>
      <c r="H34" s="5" t="n"/>
      <c r="I34" s="5" t="n"/>
      <c r="J34" s="4" t="inlineStr"/>
      <c r="K34" s="4" t="inlineStr"/>
      <c r="L34" s="5" t="n"/>
      <c r="M34" s="5" t="n"/>
      <c r="N34" s="7">
        <f>IF(AND(ISNUMBER(L34),ISNUMBER(M34)),L34*M34,"")</f>
        <v/>
      </c>
      <c r="O34" s="5" t="n"/>
      <c r="P34" s="7">
        <f>IF(AND(ISNUMBER(O34),ISNUMBER(M34)),O34*M34,"")</f>
        <v/>
      </c>
      <c r="Q34" s="7">
        <f>IF(AND(ISNUMBER(N34),ISNUMBER(P34)),N34-P34,"")</f>
        <v/>
      </c>
      <c r="R34" s="7">
        <f>IF(AND(ISNUMBER(Q34),ISNUMBER(Parámetros!$B$2)),Q34*Parámetros!$B$2,"")</f>
        <v/>
      </c>
      <c r="S34" s="5" t="n"/>
      <c r="T34" s="5" t="n"/>
      <c r="U34" s="7">
        <f>IF(COUNT(R34:T34)=0,"",SUM(R34:T34))</f>
        <v/>
      </c>
      <c r="V34" s="5" t="n"/>
      <c r="W34" s="5" t="n"/>
      <c r="X34" s="5" t="n"/>
      <c r="Y34" s="5" t="n"/>
      <c r="Z34" s="5" t="n"/>
    </row>
    <row r="35">
      <c r="A35" s="4" t="inlineStr">
        <is>
          <t>Gestión de Gente</t>
        </is>
      </c>
      <c r="B35" s="4" t="inlineStr">
        <is>
          <t>Claude Team</t>
        </is>
      </c>
      <c r="C35" s="4" t="inlineStr">
        <is>
          <t>B</t>
        </is>
      </c>
      <c r="D35" s="4" t="inlineStr">
        <is>
          <t>GG-1</t>
        </is>
      </c>
      <c r="E35" s="4" t="inlineStr">
        <is>
          <t>Formulario único de ingreso que llena los formatos de cada empresa, arma el expediente y (ver programa.md)</t>
        </is>
      </c>
      <c r="F35" s="4" t="n">
        <v>14</v>
      </c>
      <c r="G35" s="4" t="inlineStr">
        <is>
          <t>F1</t>
        </is>
      </c>
      <c r="H35" s="5" t="n"/>
      <c r="I35" s="5" t="n"/>
      <c r="J35" s="4" t="inlineStr"/>
      <c r="K35" s="4" t="inlineStr"/>
      <c r="L35" s="5" t="n"/>
      <c r="M35" s="5" t="n"/>
      <c r="N35" s="7">
        <f>IF(AND(ISNUMBER(L35),ISNUMBER(M35)),L35*M35,"")</f>
        <v/>
      </c>
      <c r="O35" s="5" t="n"/>
      <c r="P35" s="7">
        <f>IF(AND(ISNUMBER(O35),ISNUMBER(M35)),O35*M35,"")</f>
        <v/>
      </c>
      <c r="Q35" s="7">
        <f>IF(AND(ISNUMBER(N35),ISNUMBER(P35)),N35-P35,"")</f>
        <v/>
      </c>
      <c r="R35" s="7">
        <f>IF(AND(ISNUMBER(Q35),ISNUMBER(Parámetros!$B$2)),Q35*Parámetros!$B$2,"")</f>
        <v/>
      </c>
      <c r="S35" s="5" t="n"/>
      <c r="T35" s="5" t="n"/>
      <c r="U35" s="7">
        <f>IF(COUNT(R35:T35)=0,"",SUM(R35:T35))</f>
        <v/>
      </c>
      <c r="V35" s="5" t="n"/>
      <c r="W35" s="5" t="n"/>
      <c r="X35" s="5" t="n"/>
      <c r="Y35" s="5" t="n"/>
      <c r="Z35" s="5" t="n"/>
    </row>
    <row r="36">
      <c r="A36" s="4" t="inlineStr">
        <is>
          <t>Gestión de Gente</t>
        </is>
      </c>
      <c r="B36" s="4" t="inlineStr">
        <is>
          <t>Claude Team</t>
        </is>
      </c>
      <c r="C36" s="4" t="inlineStr">
        <is>
          <t>B</t>
        </is>
      </c>
      <c r="D36" s="4" t="inlineStr">
        <is>
          <t>GG-3</t>
        </is>
      </c>
      <c r="E36" s="4" t="inlineStr">
        <is>
          <t>Filtrado de CV por vacante, resumen frente al perfil, ranking y acuse; borrador de perfil de (ver programa.md)</t>
        </is>
      </c>
      <c r="F36" s="4" t="n">
        <v>12</v>
      </c>
      <c r="G36" s="4" t="inlineStr">
        <is>
          <t>F1</t>
        </is>
      </c>
      <c r="H36" s="5" t="n"/>
      <c r="I36" s="5" t="n"/>
      <c r="J36" s="4" t="inlineStr"/>
      <c r="K36" s="4" t="inlineStr"/>
      <c r="L36" s="5" t="n"/>
      <c r="M36" s="5" t="n"/>
      <c r="N36" s="7">
        <f>IF(AND(ISNUMBER(L36),ISNUMBER(M36)),L36*M36,"")</f>
        <v/>
      </c>
      <c r="O36" s="5" t="n"/>
      <c r="P36" s="7">
        <f>IF(AND(ISNUMBER(O36),ISNUMBER(M36)),O36*M36,"")</f>
        <v/>
      </c>
      <c r="Q36" s="7">
        <f>IF(AND(ISNUMBER(N36),ISNUMBER(P36)),N36-P36,"")</f>
        <v/>
      </c>
      <c r="R36" s="7">
        <f>IF(AND(ISNUMBER(Q36),ISNUMBER(Parámetros!$B$2)),Q36*Parámetros!$B$2,"")</f>
        <v/>
      </c>
      <c r="S36" s="5" t="n"/>
      <c r="T36" s="5" t="n"/>
      <c r="U36" s="7">
        <f>IF(COUNT(R36:T36)=0,"",SUM(R36:T36))</f>
        <v/>
      </c>
      <c r="V36" s="5" t="n"/>
      <c r="W36" s="5" t="n"/>
      <c r="X36" s="5" t="n"/>
      <c r="Y36" s="5" t="n"/>
      <c r="Z36" s="5" t="n"/>
    </row>
    <row r="37">
      <c r="A37" s="4" t="inlineStr">
        <is>
          <t>Gestión de Gente</t>
        </is>
      </c>
      <c r="B37" s="4" t="inlineStr">
        <is>
          <t>Claude Team</t>
        </is>
      </c>
      <c r="C37" s="4" t="inlineStr">
        <is>
          <t>B</t>
        </is>
      </c>
      <c r="D37" s="4" t="inlineStr">
        <is>
          <t>GG-4</t>
        </is>
      </c>
      <c r="E37" s="4" t="inlineStr">
        <is>
          <t>Ficha de entrevista llenada desde la transcripción y ficha ejecutiva para el líder; con (ver programa.md)</t>
        </is>
      </c>
      <c r="F37" s="4" t="n">
        <v>10</v>
      </c>
      <c r="G37" s="4" t="inlineStr">
        <is>
          <t>F1</t>
        </is>
      </c>
      <c r="H37" s="5" t="n"/>
      <c r="I37" s="5" t="n"/>
      <c r="J37" s="4" t="inlineStr"/>
      <c r="K37" s="4" t="inlineStr"/>
      <c r="L37" s="5" t="n"/>
      <c r="M37" s="5" t="n"/>
      <c r="N37" s="7">
        <f>IF(AND(ISNUMBER(L37),ISNUMBER(M37)),L37*M37,"")</f>
        <v/>
      </c>
      <c r="O37" s="5" t="n"/>
      <c r="P37" s="7">
        <f>IF(AND(ISNUMBER(O37),ISNUMBER(M37)),O37*M37,"")</f>
        <v/>
      </c>
      <c r="Q37" s="7">
        <f>IF(AND(ISNUMBER(N37),ISNUMBER(P37)),N37-P37,"")</f>
        <v/>
      </c>
      <c r="R37" s="7">
        <f>IF(AND(ISNUMBER(Q37),ISNUMBER(Parámetros!$B$2)),Q37*Parámetros!$B$2,"")</f>
        <v/>
      </c>
      <c r="S37" s="5" t="n"/>
      <c r="T37" s="5" t="n"/>
      <c r="U37" s="7">
        <f>IF(COUNT(R37:T37)=0,"",SUM(R37:T37))</f>
        <v/>
      </c>
      <c r="V37" s="5" t="n"/>
      <c r="W37" s="5" t="n"/>
      <c r="X37" s="5" t="n"/>
      <c r="Y37" s="5" t="n"/>
      <c r="Z37" s="5" t="n"/>
    </row>
    <row r="38">
      <c r="A38" s="4" t="inlineStr">
        <is>
          <t>Gestión de Gente</t>
        </is>
      </c>
      <c r="B38" s="4" t="inlineStr">
        <is>
          <t>Claude Team</t>
        </is>
      </c>
      <c r="C38" s="4" t="inlineStr">
        <is>
          <t>B</t>
        </is>
      </c>
      <c r="D38" s="4" t="inlineStr">
        <is>
          <t>GG-5</t>
        </is>
      </c>
      <c r="E38" s="4" t="inlineStr">
        <is>
          <t>Capacitación</t>
        </is>
      </c>
      <c r="F38" s="4" t="n">
        <v>15</v>
      </c>
      <c r="G38" s="4" t="inlineStr">
        <is>
          <t>F1</t>
        </is>
      </c>
      <c r="H38" s="5" t="n"/>
      <c r="I38" s="5" t="n"/>
      <c r="J38" s="4" t="inlineStr"/>
      <c r="K38" s="4" t="inlineStr"/>
      <c r="L38" s="5" t="n"/>
      <c r="M38" s="5" t="n"/>
      <c r="N38" s="7">
        <f>IF(AND(ISNUMBER(L38),ISNUMBER(M38)),L38*M38,"")</f>
        <v/>
      </c>
      <c r="O38" s="5" t="n"/>
      <c r="P38" s="7">
        <f>IF(AND(ISNUMBER(O38),ISNUMBER(M38)),O38*M38,"")</f>
        <v/>
      </c>
      <c r="Q38" s="7">
        <f>IF(AND(ISNUMBER(N38),ISNUMBER(P38)),N38-P38,"")</f>
        <v/>
      </c>
      <c r="R38" s="7">
        <f>IF(AND(ISNUMBER(Q38),ISNUMBER(Parámetros!$B$2)),Q38*Parámetros!$B$2,"")</f>
        <v/>
      </c>
      <c r="S38" s="5" t="n"/>
      <c r="T38" s="5" t="n"/>
      <c r="U38" s="7">
        <f>IF(COUNT(R38:T38)=0,"",SUM(R38:T38))</f>
        <v/>
      </c>
      <c r="V38" s="5" t="n"/>
      <c r="W38" s="5" t="n"/>
      <c r="X38" s="5" t="n"/>
      <c r="Y38" s="5" t="n"/>
      <c r="Z38" s="5" t="n"/>
    </row>
    <row r="39">
      <c r="A39" s="4" t="inlineStr">
        <is>
          <t>Gestión de Gente</t>
        </is>
      </c>
      <c r="B39" s="4" t="inlineStr">
        <is>
          <t>Claude Team</t>
        </is>
      </c>
      <c r="C39" s="4" t="inlineStr">
        <is>
          <t>B</t>
        </is>
      </c>
      <c r="D39" s="4" t="inlineStr">
        <is>
          <t>GG-2</t>
        </is>
      </c>
      <c r="E39" s="4" t="inlineStr">
        <is>
          <t>Contratos desde la ficha y base de seguimiento con alertas</t>
        </is>
      </c>
      <c r="F39" s="4" t="n">
        <v>13</v>
      </c>
      <c r="G39" s="4" t="inlineStr">
        <is>
          <t>F2</t>
        </is>
      </c>
      <c r="H39" s="5" t="n"/>
      <c r="I39" s="5" t="n"/>
      <c r="J39" s="4" t="inlineStr"/>
      <c r="K39" s="4" t="inlineStr"/>
      <c r="L39" s="5" t="n"/>
      <c r="M39" s="5" t="n"/>
      <c r="N39" s="7">
        <f>IF(AND(ISNUMBER(L39),ISNUMBER(M39)),L39*M39,"")</f>
        <v/>
      </c>
      <c r="O39" s="5" t="n"/>
      <c r="P39" s="7">
        <f>IF(AND(ISNUMBER(O39),ISNUMBER(M39)),O39*M39,"")</f>
        <v/>
      </c>
      <c r="Q39" s="7">
        <f>IF(AND(ISNUMBER(N39),ISNUMBER(P39)),N39-P39,"")</f>
        <v/>
      </c>
      <c r="R39" s="7">
        <f>IF(AND(ISNUMBER(Q39),ISNUMBER(Parámetros!$B$2)),Q39*Parámetros!$B$2,"")</f>
        <v/>
      </c>
      <c r="S39" s="5" t="n"/>
      <c r="T39" s="5" t="n"/>
      <c r="U39" s="7">
        <f>IF(COUNT(R39:T39)=0,"",SUM(R39:T39))</f>
        <v/>
      </c>
      <c r="V39" s="5" t="n"/>
      <c r="W39" s="5" t="n"/>
      <c r="X39" s="5" t="n"/>
      <c r="Y39" s="5" t="n"/>
      <c r="Z39" s="5" t="n"/>
    </row>
    <row r="40">
      <c r="A40" s="4" t="inlineStr">
        <is>
          <t>Gestión de Gente</t>
        </is>
      </c>
      <c r="B40" s="4" t="inlineStr">
        <is>
          <t>Claude Team</t>
        </is>
      </c>
      <c r="C40" s="4" t="inlineStr">
        <is>
          <t>B</t>
        </is>
      </c>
      <c r="D40" s="4" t="inlineStr">
        <is>
          <t>GG-7</t>
        </is>
      </c>
      <c r="E40" s="4" t="inlineStr">
        <is>
          <t>Onboarding y comunicación del ingreso</t>
        </is>
      </c>
      <c r="F40" s="4" t="n">
        <v>14</v>
      </c>
      <c r="G40" s="4" t="inlineStr">
        <is>
          <t>F2</t>
        </is>
      </c>
      <c r="H40" s="5" t="n"/>
      <c r="I40" s="5" t="n"/>
      <c r="J40" s="4" t="inlineStr"/>
      <c r="K40" s="4" t="inlineStr"/>
      <c r="L40" s="5" t="n"/>
      <c r="M40" s="5" t="n"/>
      <c r="N40" s="7">
        <f>IF(AND(ISNUMBER(L40),ISNUMBER(M40)),L40*M40,"")</f>
        <v/>
      </c>
      <c r="O40" s="5" t="n"/>
      <c r="P40" s="7">
        <f>IF(AND(ISNUMBER(O40),ISNUMBER(M40)),O40*M40,"")</f>
        <v/>
      </c>
      <c r="Q40" s="7">
        <f>IF(AND(ISNUMBER(N40),ISNUMBER(P40)),N40-P40,"")</f>
        <v/>
      </c>
      <c r="R40" s="7">
        <f>IF(AND(ISNUMBER(Q40),ISNUMBER(Parámetros!$B$2)),Q40*Parámetros!$B$2,"")</f>
        <v/>
      </c>
      <c r="S40" s="5" t="n"/>
      <c r="T40" s="5" t="n"/>
      <c r="U40" s="7">
        <f>IF(COUNT(R40:T40)=0,"",SUM(R40:T40))</f>
        <v/>
      </c>
      <c r="V40" s="5" t="n"/>
      <c r="W40" s="5" t="n"/>
      <c r="X40" s="5" t="n"/>
      <c r="Y40" s="5" t="n"/>
      <c r="Z40" s="5" t="n"/>
    </row>
    <row r="41">
      <c r="A41" s="4" t="inlineStr">
        <is>
          <t>Gestión de Gente</t>
        </is>
      </c>
      <c r="B41" s="4" t="inlineStr">
        <is>
          <t>Claude Team</t>
        </is>
      </c>
      <c r="C41" s="4" t="inlineStr">
        <is>
          <t>B</t>
        </is>
      </c>
      <c r="D41" s="4" t="inlineStr">
        <is>
          <t>GG-6</t>
        </is>
      </c>
      <c r="E41" s="4" t="inlineStr">
        <is>
          <t>CV del talento interno, consultable por competencias para el plan de sucesión</t>
        </is>
      </c>
      <c r="F41" s="4" t="n">
        <v>9</v>
      </c>
      <c r="G41" s="4" t="inlineStr">
        <is>
          <t>F3</t>
        </is>
      </c>
      <c r="H41" s="5" t="n"/>
      <c r="I41" s="5" t="n"/>
      <c r="J41" s="4" t="inlineStr"/>
      <c r="K41" s="4" t="inlineStr"/>
      <c r="L41" s="5" t="n"/>
      <c r="M41" s="5" t="n"/>
      <c r="N41" s="7">
        <f>IF(AND(ISNUMBER(L41),ISNUMBER(M41)),L41*M41,"")</f>
        <v/>
      </c>
      <c r="O41" s="5" t="n"/>
      <c r="P41" s="7">
        <f>IF(AND(ISNUMBER(O41),ISNUMBER(M41)),O41*M41,"")</f>
        <v/>
      </c>
      <c r="Q41" s="7">
        <f>IF(AND(ISNUMBER(N41),ISNUMBER(P41)),N41-P41,"")</f>
        <v/>
      </c>
      <c r="R41" s="7">
        <f>IF(AND(ISNUMBER(Q41),ISNUMBER(Parámetros!$B$2)),Q41*Parámetros!$B$2,"")</f>
        <v/>
      </c>
      <c r="S41" s="5" t="n"/>
      <c r="T41" s="5" t="n"/>
      <c r="U41" s="7">
        <f>IF(COUNT(R41:T41)=0,"",SUM(R41:T41))</f>
        <v/>
      </c>
      <c r="V41" s="5" t="n"/>
      <c r="W41" s="5" t="n"/>
      <c r="X41" s="5" t="n"/>
      <c r="Y41" s="5" t="n"/>
      <c r="Z41" s="5" t="n"/>
    </row>
    <row r="42">
      <c r="A42" s="4" t="inlineStr">
        <is>
          <t>Beneficios y Recepción</t>
        </is>
      </c>
      <c r="B42" s="4" t="inlineStr">
        <is>
          <t>Claude Team</t>
        </is>
      </c>
      <c r="C42" s="4" t="inlineStr">
        <is>
          <t>B</t>
        </is>
      </c>
      <c r="D42" s="4" t="inlineStr">
        <is>
          <t>BR-1</t>
        </is>
      </c>
      <c r="E42" s="4" t="inlineStr">
        <is>
          <t>Consumo telefónico</t>
        </is>
      </c>
      <c r="F42" s="4" t="n">
        <v>9</v>
      </c>
      <c r="G42" s="4" t="inlineStr">
        <is>
          <t>F1</t>
        </is>
      </c>
      <c r="H42" s="5" t="n"/>
      <c r="I42" s="5" t="n"/>
      <c r="J42" s="4" t="inlineStr"/>
      <c r="K42" s="4" t="inlineStr"/>
      <c r="L42" s="5" t="n"/>
      <c r="M42" s="5" t="n"/>
      <c r="N42" s="7">
        <f>IF(AND(ISNUMBER(L42),ISNUMBER(M42)),L42*M42,"")</f>
        <v/>
      </c>
      <c r="O42" s="5" t="n"/>
      <c r="P42" s="7">
        <f>IF(AND(ISNUMBER(O42),ISNUMBER(M42)),O42*M42,"")</f>
        <v/>
      </c>
      <c r="Q42" s="7">
        <f>IF(AND(ISNUMBER(N42),ISNUMBER(P42)),N42-P42,"")</f>
        <v/>
      </c>
      <c r="R42" s="7">
        <f>IF(AND(ISNUMBER(Q42),ISNUMBER(Parámetros!$B$2)),Q42*Parámetros!$B$2,"")</f>
        <v/>
      </c>
      <c r="S42" s="5" t="n"/>
      <c r="T42" s="5" t="n"/>
      <c r="U42" s="7">
        <f>IF(COUNT(R42:T42)=0,"",SUM(R42:T42))</f>
        <v/>
      </c>
      <c r="V42" s="5" t="n"/>
      <c r="W42" s="5" t="n"/>
      <c r="X42" s="5" t="n"/>
      <c r="Y42" s="5" t="n"/>
      <c r="Z42" s="5" t="n"/>
    </row>
    <row r="43">
      <c r="A43" s="4" t="inlineStr">
        <is>
          <t>Beneficios y Recepción</t>
        </is>
      </c>
      <c r="B43" s="4" t="inlineStr">
        <is>
          <t>Claude Team</t>
        </is>
      </c>
      <c r="C43" s="4" t="inlineStr">
        <is>
          <t>B</t>
        </is>
      </c>
      <c r="D43" s="4" t="inlineStr">
        <is>
          <t>BR-2</t>
        </is>
      </c>
      <c r="E43" s="4" t="inlineStr">
        <is>
          <t>Asistente de correo y comunicados</t>
        </is>
      </c>
      <c r="F43" s="4" t="n">
        <v>5</v>
      </c>
      <c r="G43" s="4" t="inlineStr">
        <is>
          <t>F1</t>
        </is>
      </c>
      <c r="H43" s="5" t="n"/>
      <c r="I43" s="5" t="n"/>
      <c r="J43" s="4" t="inlineStr"/>
      <c r="K43" s="4" t="inlineStr"/>
      <c r="L43" s="5" t="n"/>
      <c r="M43" s="5" t="n"/>
      <c r="N43" s="7">
        <f>IF(AND(ISNUMBER(L43),ISNUMBER(M43)),L43*M43,"")</f>
        <v/>
      </c>
      <c r="O43" s="5" t="n"/>
      <c r="P43" s="7">
        <f>IF(AND(ISNUMBER(O43),ISNUMBER(M43)),O43*M43,"")</f>
        <v/>
      </c>
      <c r="Q43" s="7">
        <f>IF(AND(ISNUMBER(N43),ISNUMBER(P43)),N43-P43,"")</f>
        <v/>
      </c>
      <c r="R43" s="7">
        <f>IF(AND(ISNUMBER(Q43),ISNUMBER(Parámetros!$B$2)),Q43*Parámetros!$B$2,"")</f>
        <v/>
      </c>
      <c r="S43" s="5" t="n"/>
      <c r="T43" s="5" t="n"/>
      <c r="U43" s="7">
        <f>IF(COUNT(R43:T43)=0,"",SUM(R43:T43))</f>
        <v/>
      </c>
      <c r="V43" s="5" t="n"/>
      <c r="W43" s="5" t="n"/>
      <c r="X43" s="5" t="n"/>
      <c r="Y43" s="5" t="n"/>
      <c r="Z43" s="5" t="n"/>
    </row>
    <row r="44">
      <c r="A44" s="4" t="inlineStr">
        <is>
          <t>Beneficios y Recepción</t>
        </is>
      </c>
      <c r="B44" s="4" t="inlineStr">
        <is>
          <t>Claude Team</t>
        </is>
      </c>
      <c r="C44" s="4" t="inlineStr">
        <is>
          <t>B</t>
        </is>
      </c>
      <c r="D44" s="4" t="inlineStr">
        <is>
          <t>BR-3</t>
        </is>
      </c>
      <c r="E44" s="4" t="inlineStr">
        <is>
          <t>Obsequios de cumpleaños</t>
        </is>
      </c>
      <c r="F44" s="4" t="n">
        <v>8</v>
      </c>
      <c r="G44" s="4" t="inlineStr">
        <is>
          <t>F2</t>
        </is>
      </c>
      <c r="H44" s="5" t="n"/>
      <c r="I44" s="5" t="n"/>
      <c r="J44" s="4" t="inlineStr"/>
      <c r="K44" s="4" t="inlineStr"/>
      <c r="L44" s="5" t="n"/>
      <c r="M44" s="5" t="n"/>
      <c r="N44" s="7">
        <f>IF(AND(ISNUMBER(L44),ISNUMBER(M44)),L44*M44,"")</f>
        <v/>
      </c>
      <c r="O44" s="5" t="n"/>
      <c r="P44" s="7">
        <f>IF(AND(ISNUMBER(O44),ISNUMBER(M44)),O44*M44,"")</f>
        <v/>
      </c>
      <c r="Q44" s="7">
        <f>IF(AND(ISNUMBER(N44),ISNUMBER(P44)),N44-P44,"")</f>
        <v/>
      </c>
      <c r="R44" s="7">
        <f>IF(AND(ISNUMBER(Q44),ISNUMBER(Parámetros!$B$2)),Q44*Parámetros!$B$2,"")</f>
        <v/>
      </c>
      <c r="S44" s="5" t="n"/>
      <c r="T44" s="5" t="n"/>
      <c r="U44" s="7">
        <f>IF(COUNT(R44:T44)=0,"",SUM(R44:T44))</f>
        <v/>
      </c>
      <c r="V44" s="5" t="n"/>
      <c r="W44" s="5" t="n"/>
      <c r="X44" s="5" t="n"/>
      <c r="Y44" s="5" t="n"/>
      <c r="Z44" s="5" t="n"/>
    </row>
    <row r="45">
      <c r="A45" s="4" t="inlineStr">
        <is>
          <t>Beneficios y Recepción</t>
        </is>
      </c>
      <c r="B45" s="4" t="inlineStr">
        <is>
          <t>Claude Team</t>
        </is>
      </c>
      <c r="C45" s="4" t="inlineStr">
        <is>
          <t>B</t>
        </is>
      </c>
      <c r="D45" s="4" t="inlineStr">
        <is>
          <t>BR-4</t>
        </is>
      </c>
      <c r="E45" s="4" t="inlineStr">
        <is>
          <t>Útiles y becas</t>
        </is>
      </c>
      <c r="F45" s="4" t="n">
        <v>10</v>
      </c>
      <c r="G45" s="4" t="inlineStr">
        <is>
          <t>F3</t>
        </is>
      </c>
      <c r="H45" s="5" t="n"/>
      <c r="I45" s="5" t="n"/>
      <c r="J45" s="4" t="inlineStr"/>
      <c r="K45" s="4" t="inlineStr"/>
      <c r="L45" s="5" t="n"/>
      <c r="M45" s="5" t="n"/>
      <c r="N45" s="7">
        <f>IF(AND(ISNUMBER(L45),ISNUMBER(M45)),L45*M45,"")</f>
        <v/>
      </c>
      <c r="O45" s="5" t="n"/>
      <c r="P45" s="7">
        <f>IF(AND(ISNUMBER(O45),ISNUMBER(M45)),O45*M45,"")</f>
        <v/>
      </c>
      <c r="Q45" s="7">
        <f>IF(AND(ISNUMBER(N45),ISNUMBER(P45)),N45-P45,"")</f>
        <v/>
      </c>
      <c r="R45" s="7">
        <f>IF(AND(ISNUMBER(Q45),ISNUMBER(Parámetros!$B$2)),Q45*Parámetros!$B$2,"")</f>
        <v/>
      </c>
      <c r="S45" s="5" t="n"/>
      <c r="T45" s="5" t="n"/>
      <c r="U45" s="7">
        <f>IF(COUNT(R45:T45)=0,"",SUM(R45:T45))</f>
        <v/>
      </c>
      <c r="V45" s="5" t="n"/>
      <c r="W45" s="5" t="n"/>
      <c r="X45" s="5" t="n"/>
      <c r="Y45" s="5" t="n"/>
      <c r="Z45" s="5" t="n"/>
    </row>
    <row r="47">
      <c r="A47" s="8" t="inlineStr">
        <is>
          <t>TOTAL</t>
        </is>
      </c>
      <c r="F47" s="9">
        <f>SUM(F2:F45)</f>
        <v/>
      </c>
      <c r="N47" s="9">
        <f>SUM(N2:N45)</f>
        <v/>
      </c>
      <c r="P47" s="9">
        <f>SUM(P2:P45)</f>
        <v/>
      </c>
      <c r="Q47" s="9">
        <f>SUM(Q2:Q45)</f>
        <v/>
      </c>
      <c r="R47" s="9">
        <f>SUM(R2:R45)</f>
        <v/>
      </c>
      <c r="S47" s="9">
        <f>SUM(S2:S45)</f>
        <v/>
      </c>
      <c r="T47" s="9">
        <f>SUM(T2:T45)</f>
        <v/>
      </c>
      <c r="U47" s="9">
        <f>SUM(U2:U45)</f>
        <v/>
      </c>
      <c r="W47" s="9">
        <f>SUM(W2:W45)</f>
        <v/>
      </c>
      <c r="X47" s="9">
        <f>SUM(X2:X45)</f>
        <v/>
      </c>
      <c r="Y47" s="9">
        <f>SUM(Y2:Y45)</f>
        <v/>
      </c>
    </row>
  </sheetData>
  <dataValidations count="1">
    <dataValidation sqref="V2:V45" showDropDown="0" showInputMessage="0" showErrorMessage="0" allowBlank="1" type="list">
      <formula1>"Medido,Declarado por el área,Estimación conservadora"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48" customHeight="1">
      <c r="A1" s="6" t="inlineStr">
        <is>
          <t>Área</t>
        </is>
      </c>
      <c r="B1" s="6" t="inlineStr">
        <is>
          <t>Soluciones</t>
        </is>
      </c>
      <c r="C1" s="6" t="inlineStr">
        <is>
          <t>Horas actuales al mes</t>
        </is>
      </c>
      <c r="D1" s="6" t="inlineStr">
        <is>
          <t>Horas con la solución al mes</t>
        </is>
      </c>
      <c r="E1" s="6" t="inlineStr">
        <is>
          <t>Horas recuperadas al mes</t>
        </is>
      </c>
      <c r="F1" s="6" t="inlineStr">
        <is>
          <t>Valor de las horas (USD/mes)</t>
        </is>
      </c>
      <c r="G1" s="6" t="inlineStr">
        <is>
          <t>Retrabajo y errores (USD/mes)</t>
        </is>
      </c>
      <c r="H1" s="6" t="inlineStr">
        <is>
          <t>Pagos o cobros tardíos (USD/mes)</t>
        </is>
      </c>
      <c r="I1" s="6" t="inlineStr">
        <is>
          <t>Retorno mensual (USD)</t>
        </is>
      </c>
      <c r="J1" s="6" t="inlineStr">
        <is>
          <t>Retorno anual (USD)</t>
        </is>
      </c>
      <c r="K1" s="6" t="inlineStr">
        <is>
          <t>Posiciones equivalentes a las horas recuperadas</t>
        </is>
      </c>
      <c r="L1" s="6" t="inlineStr">
        <is>
          <t>Meta a 30 días (h/mes)</t>
        </is>
      </c>
      <c r="M1" s="6" t="inlineStr">
        <is>
          <t>Meta a 60 días</t>
        </is>
      </c>
      <c r="N1" s="6" t="inlineStr">
        <is>
          <t>Meta a 90 días</t>
        </is>
      </c>
    </row>
    <row r="2">
      <c r="A2" s="10" t="inlineStr">
        <is>
          <t>Contabilidad y Cuentas por Pagar</t>
        </is>
      </c>
      <c r="B2" s="11">
        <f>COUNTIFS('Retorno por proceso'!$A$2:$A$45,$A2)</f>
        <v/>
      </c>
      <c r="C2" s="11">
        <f>SUMIFS('Retorno por proceso'!$N$2:$N$45,'Retorno por proceso'!$A$2:$A$45,$A2)</f>
        <v/>
      </c>
      <c r="D2" s="11">
        <f>SUMIFS('Retorno por proceso'!$P$2:$P$45,'Retorno por proceso'!$A$2:$A$45,$A2)</f>
        <v/>
      </c>
      <c r="E2" s="11">
        <f>SUMIFS('Retorno por proceso'!$Q$2:$Q$45,'Retorno por proceso'!$A$2:$A$45,$A2)</f>
        <v/>
      </c>
      <c r="F2" s="11">
        <f>SUMIFS('Retorno por proceso'!$R$2:$R$45,'Retorno por proceso'!$A$2:$A$45,$A2)</f>
        <v/>
      </c>
      <c r="G2" s="11">
        <f>SUMIFS('Retorno por proceso'!$S$2:$S$45,'Retorno por proceso'!$A$2:$A$45,$A2)</f>
        <v/>
      </c>
      <c r="H2" s="11">
        <f>SUMIFS('Retorno por proceso'!$T$2:$T$45,'Retorno por proceso'!$A$2:$A$45,$A2)</f>
        <v/>
      </c>
      <c r="I2" s="11">
        <f>SUMIFS('Retorno por proceso'!$U$2:$U$45,'Retorno por proceso'!$A$2:$A$45,$A2)</f>
        <v/>
      </c>
      <c r="J2" s="11">
        <f>IF(I2=0,"",I2*12)</f>
        <v/>
      </c>
      <c r="K2" s="11">
        <f>IF(AND(ISNUMBER(E2),ISNUMBER(Parámetros!$B$3),Parámetros!$B$3&gt;0),E2/Parámetros!$B$3,"")</f>
        <v/>
      </c>
      <c r="L2" s="11">
        <f>SUMIFS('Retorno por proceso'!$W$2:$W$45,'Retorno por proceso'!$A$2:$A$45,$A2)</f>
        <v/>
      </c>
      <c r="M2" s="11">
        <f>SUMIFS('Retorno por proceso'!$X$2:$X$45,'Retorno por proceso'!$A$2:$A$45,$A2)</f>
        <v/>
      </c>
      <c r="N2" s="11">
        <f>SUMIFS('Retorno por proceso'!$Y$2:$Y$45,'Retorno por proceso'!$A$2:$A$45,$A2)</f>
        <v/>
      </c>
    </row>
    <row r="3">
      <c r="A3" s="10" t="inlineStr">
        <is>
          <t>Tesorería</t>
        </is>
      </c>
      <c r="B3" s="11">
        <f>COUNTIFS('Retorno por proceso'!$A$2:$A$45,$A3)</f>
        <v/>
      </c>
      <c r="C3" s="11">
        <f>SUMIFS('Retorno por proceso'!$N$2:$N$45,'Retorno por proceso'!$A$2:$A$45,$A3)</f>
        <v/>
      </c>
      <c r="D3" s="11">
        <f>SUMIFS('Retorno por proceso'!$P$2:$P$45,'Retorno por proceso'!$A$2:$A$45,$A3)</f>
        <v/>
      </c>
      <c r="E3" s="11">
        <f>SUMIFS('Retorno por proceso'!$Q$2:$Q$45,'Retorno por proceso'!$A$2:$A$45,$A3)</f>
        <v/>
      </c>
      <c r="F3" s="11">
        <f>SUMIFS('Retorno por proceso'!$R$2:$R$45,'Retorno por proceso'!$A$2:$A$45,$A3)</f>
        <v/>
      </c>
      <c r="G3" s="11">
        <f>SUMIFS('Retorno por proceso'!$S$2:$S$45,'Retorno por proceso'!$A$2:$A$45,$A3)</f>
        <v/>
      </c>
      <c r="H3" s="11">
        <f>SUMIFS('Retorno por proceso'!$T$2:$T$45,'Retorno por proceso'!$A$2:$A$45,$A3)</f>
        <v/>
      </c>
      <c r="I3" s="11">
        <f>SUMIFS('Retorno por proceso'!$U$2:$U$45,'Retorno por proceso'!$A$2:$A$45,$A3)</f>
        <v/>
      </c>
      <c r="J3" s="11">
        <f>IF(I3=0,"",I3*12)</f>
        <v/>
      </c>
      <c r="K3" s="11">
        <f>IF(AND(ISNUMBER(E3),ISNUMBER(Parámetros!$B$3),Parámetros!$B$3&gt;0),E3/Parámetros!$B$3,"")</f>
        <v/>
      </c>
      <c r="L3" s="11">
        <f>SUMIFS('Retorno por proceso'!$W$2:$W$45,'Retorno por proceso'!$A$2:$A$45,$A3)</f>
        <v/>
      </c>
      <c r="M3" s="11">
        <f>SUMIFS('Retorno por proceso'!$X$2:$X$45,'Retorno por proceso'!$A$2:$A$45,$A3)</f>
        <v/>
      </c>
      <c r="N3" s="11">
        <f>SUMIFS('Retorno por proceso'!$Y$2:$Y$45,'Retorno por proceso'!$A$2:$A$45,$A3)</f>
        <v/>
      </c>
    </row>
    <row r="4">
      <c r="A4" s="10" t="inlineStr">
        <is>
          <t>Cuentas por Cobrar</t>
        </is>
      </c>
      <c r="B4" s="11">
        <f>COUNTIFS('Retorno por proceso'!$A$2:$A$45,$A4)</f>
        <v/>
      </c>
      <c r="C4" s="11">
        <f>SUMIFS('Retorno por proceso'!$N$2:$N$45,'Retorno por proceso'!$A$2:$A$45,$A4)</f>
        <v/>
      </c>
      <c r="D4" s="11">
        <f>SUMIFS('Retorno por proceso'!$P$2:$P$45,'Retorno por proceso'!$A$2:$A$45,$A4)</f>
        <v/>
      </c>
      <c r="E4" s="11">
        <f>SUMIFS('Retorno por proceso'!$Q$2:$Q$45,'Retorno por proceso'!$A$2:$A$45,$A4)</f>
        <v/>
      </c>
      <c r="F4" s="11">
        <f>SUMIFS('Retorno por proceso'!$R$2:$R$45,'Retorno por proceso'!$A$2:$A$45,$A4)</f>
        <v/>
      </c>
      <c r="G4" s="11">
        <f>SUMIFS('Retorno por proceso'!$S$2:$S$45,'Retorno por proceso'!$A$2:$A$45,$A4)</f>
        <v/>
      </c>
      <c r="H4" s="11">
        <f>SUMIFS('Retorno por proceso'!$T$2:$T$45,'Retorno por proceso'!$A$2:$A$45,$A4)</f>
        <v/>
      </c>
      <c r="I4" s="11">
        <f>SUMIFS('Retorno por proceso'!$U$2:$U$45,'Retorno por proceso'!$A$2:$A$45,$A4)</f>
        <v/>
      </c>
      <c r="J4" s="11">
        <f>IF(I4=0,"",I4*12)</f>
        <v/>
      </c>
      <c r="K4" s="11">
        <f>IF(AND(ISNUMBER(E4),ISNUMBER(Parámetros!$B$3),Parámetros!$B$3&gt;0),E4/Parámetros!$B$3,"")</f>
        <v/>
      </c>
      <c r="L4" s="11">
        <f>SUMIFS('Retorno por proceso'!$W$2:$W$45,'Retorno por proceso'!$A$2:$A$45,$A4)</f>
        <v/>
      </c>
      <c r="M4" s="11">
        <f>SUMIFS('Retorno por proceso'!$X$2:$X$45,'Retorno por proceso'!$A$2:$A$45,$A4)</f>
        <v/>
      </c>
      <c r="N4" s="11">
        <f>SUMIFS('Retorno por proceso'!$Y$2:$Y$45,'Retorno por proceso'!$A$2:$A$45,$A4)</f>
        <v/>
      </c>
    </row>
    <row r="5">
      <c r="A5" s="10" t="inlineStr">
        <is>
          <t>Finanzas</t>
        </is>
      </c>
      <c r="B5" s="11">
        <f>COUNTIFS('Retorno por proceso'!$A$2:$A$45,$A5)</f>
        <v/>
      </c>
      <c r="C5" s="11">
        <f>SUMIFS('Retorno por proceso'!$N$2:$N$45,'Retorno por proceso'!$A$2:$A$45,$A5)</f>
        <v/>
      </c>
      <c r="D5" s="11">
        <f>SUMIFS('Retorno por proceso'!$P$2:$P$45,'Retorno por proceso'!$A$2:$A$45,$A5)</f>
        <v/>
      </c>
      <c r="E5" s="11">
        <f>SUMIFS('Retorno por proceso'!$Q$2:$Q$45,'Retorno por proceso'!$A$2:$A$45,$A5)</f>
        <v/>
      </c>
      <c r="F5" s="11">
        <f>SUMIFS('Retorno por proceso'!$R$2:$R$45,'Retorno por proceso'!$A$2:$A$45,$A5)</f>
        <v/>
      </c>
      <c r="G5" s="11">
        <f>SUMIFS('Retorno por proceso'!$S$2:$S$45,'Retorno por proceso'!$A$2:$A$45,$A5)</f>
        <v/>
      </c>
      <c r="H5" s="11">
        <f>SUMIFS('Retorno por proceso'!$T$2:$T$45,'Retorno por proceso'!$A$2:$A$45,$A5)</f>
        <v/>
      </c>
      <c r="I5" s="11">
        <f>SUMIFS('Retorno por proceso'!$U$2:$U$45,'Retorno por proceso'!$A$2:$A$45,$A5)</f>
        <v/>
      </c>
      <c r="J5" s="11">
        <f>IF(I5=0,"",I5*12)</f>
        <v/>
      </c>
      <c r="K5" s="11">
        <f>IF(AND(ISNUMBER(E5),ISNUMBER(Parámetros!$B$3),Parámetros!$B$3&gt;0),E5/Parámetros!$B$3,"")</f>
        <v/>
      </c>
      <c r="L5" s="11">
        <f>SUMIFS('Retorno por proceso'!$W$2:$W$45,'Retorno por proceso'!$A$2:$A$45,$A5)</f>
        <v/>
      </c>
      <c r="M5" s="11">
        <f>SUMIFS('Retorno por proceso'!$X$2:$X$45,'Retorno por proceso'!$A$2:$A$45,$A5)</f>
        <v/>
      </c>
      <c r="N5" s="11">
        <f>SUMIFS('Retorno por proceso'!$Y$2:$Y$45,'Retorno por proceso'!$A$2:$A$45,$A5)</f>
        <v/>
      </c>
    </row>
    <row r="6">
      <c r="A6" s="10" t="inlineStr">
        <is>
          <t>Comercial Región Centro-Sur</t>
        </is>
      </c>
      <c r="B6" s="11">
        <f>COUNTIFS('Retorno por proceso'!$A$2:$A$45,$A6)</f>
        <v/>
      </c>
      <c r="C6" s="11">
        <f>SUMIFS('Retorno por proceso'!$N$2:$N$45,'Retorno por proceso'!$A$2:$A$45,$A6)</f>
        <v/>
      </c>
      <c r="D6" s="11">
        <f>SUMIFS('Retorno por proceso'!$P$2:$P$45,'Retorno por proceso'!$A$2:$A$45,$A6)</f>
        <v/>
      </c>
      <c r="E6" s="11">
        <f>SUMIFS('Retorno por proceso'!$Q$2:$Q$45,'Retorno por proceso'!$A$2:$A$45,$A6)</f>
        <v/>
      </c>
      <c r="F6" s="11">
        <f>SUMIFS('Retorno por proceso'!$R$2:$R$45,'Retorno por proceso'!$A$2:$A$45,$A6)</f>
        <v/>
      </c>
      <c r="G6" s="11">
        <f>SUMIFS('Retorno por proceso'!$S$2:$S$45,'Retorno por proceso'!$A$2:$A$45,$A6)</f>
        <v/>
      </c>
      <c r="H6" s="11">
        <f>SUMIFS('Retorno por proceso'!$T$2:$T$45,'Retorno por proceso'!$A$2:$A$45,$A6)</f>
        <v/>
      </c>
      <c r="I6" s="11">
        <f>SUMIFS('Retorno por proceso'!$U$2:$U$45,'Retorno por proceso'!$A$2:$A$45,$A6)</f>
        <v/>
      </c>
      <c r="J6" s="11">
        <f>IF(I6=0,"",I6*12)</f>
        <v/>
      </c>
      <c r="K6" s="11">
        <f>IF(AND(ISNUMBER(E6),ISNUMBER(Parámetros!$B$3),Parámetros!$B$3&gt;0),E6/Parámetros!$B$3,"")</f>
        <v/>
      </c>
      <c r="L6" s="11">
        <f>SUMIFS('Retorno por proceso'!$W$2:$W$45,'Retorno por proceso'!$A$2:$A$45,$A6)</f>
        <v/>
      </c>
      <c r="M6" s="11">
        <f>SUMIFS('Retorno por proceso'!$X$2:$X$45,'Retorno por proceso'!$A$2:$A$45,$A6)</f>
        <v/>
      </c>
      <c r="N6" s="11">
        <f>SUMIFS('Retorno por proceso'!$Y$2:$Y$45,'Retorno por proceso'!$A$2:$A$45,$A6)</f>
        <v/>
      </c>
    </row>
    <row r="7">
      <c r="A7" s="10" t="inlineStr">
        <is>
          <t>Base de datos de empleados (proceso base)</t>
        </is>
      </c>
      <c r="B7" s="11">
        <f>COUNTIFS('Retorno por proceso'!$A$2:$A$45,$A7)</f>
        <v/>
      </c>
      <c r="C7" s="11">
        <f>SUMIFS('Retorno por proceso'!$N$2:$N$45,'Retorno por proceso'!$A$2:$A$45,$A7)</f>
        <v/>
      </c>
      <c r="D7" s="11">
        <f>SUMIFS('Retorno por proceso'!$P$2:$P$45,'Retorno por proceso'!$A$2:$A$45,$A7)</f>
        <v/>
      </c>
      <c r="E7" s="11">
        <f>SUMIFS('Retorno por proceso'!$Q$2:$Q$45,'Retorno por proceso'!$A$2:$A$45,$A7)</f>
        <v/>
      </c>
      <c r="F7" s="11">
        <f>SUMIFS('Retorno por proceso'!$R$2:$R$45,'Retorno por proceso'!$A$2:$A$45,$A7)</f>
        <v/>
      </c>
      <c r="G7" s="11">
        <f>SUMIFS('Retorno por proceso'!$S$2:$S$45,'Retorno por proceso'!$A$2:$A$45,$A7)</f>
        <v/>
      </c>
      <c r="H7" s="11">
        <f>SUMIFS('Retorno por proceso'!$T$2:$T$45,'Retorno por proceso'!$A$2:$A$45,$A7)</f>
        <v/>
      </c>
      <c r="I7" s="11">
        <f>SUMIFS('Retorno por proceso'!$U$2:$U$45,'Retorno por proceso'!$A$2:$A$45,$A7)</f>
        <v/>
      </c>
      <c r="J7" s="11">
        <f>IF(I7=0,"",I7*12)</f>
        <v/>
      </c>
      <c r="K7" s="11">
        <f>IF(AND(ISNUMBER(E7),ISNUMBER(Parámetros!$B$3),Parámetros!$B$3&gt;0),E7/Parámetros!$B$3,"")</f>
        <v/>
      </c>
      <c r="L7" s="11">
        <f>SUMIFS('Retorno por proceso'!$W$2:$W$45,'Retorno por proceso'!$A$2:$A$45,$A7)</f>
        <v/>
      </c>
      <c r="M7" s="11">
        <f>SUMIFS('Retorno por proceso'!$X$2:$X$45,'Retorno por proceso'!$A$2:$A$45,$A7)</f>
        <v/>
      </c>
      <c r="N7" s="11">
        <f>SUMIFS('Retorno por proceso'!$Y$2:$Y$45,'Retorno por proceso'!$A$2:$A$45,$A7)</f>
        <v/>
      </c>
    </row>
    <row r="8">
      <c r="A8" s="10" t="inlineStr">
        <is>
          <t>Nómina</t>
        </is>
      </c>
      <c r="B8" s="11">
        <f>COUNTIFS('Retorno por proceso'!$A$2:$A$45,$A8)</f>
        <v/>
      </c>
      <c r="C8" s="11">
        <f>SUMIFS('Retorno por proceso'!$N$2:$N$45,'Retorno por proceso'!$A$2:$A$45,$A8)</f>
        <v/>
      </c>
      <c r="D8" s="11">
        <f>SUMIFS('Retorno por proceso'!$P$2:$P$45,'Retorno por proceso'!$A$2:$A$45,$A8)</f>
        <v/>
      </c>
      <c r="E8" s="11">
        <f>SUMIFS('Retorno por proceso'!$Q$2:$Q$45,'Retorno por proceso'!$A$2:$A$45,$A8)</f>
        <v/>
      </c>
      <c r="F8" s="11">
        <f>SUMIFS('Retorno por proceso'!$R$2:$R$45,'Retorno por proceso'!$A$2:$A$45,$A8)</f>
        <v/>
      </c>
      <c r="G8" s="11">
        <f>SUMIFS('Retorno por proceso'!$S$2:$S$45,'Retorno por proceso'!$A$2:$A$45,$A8)</f>
        <v/>
      </c>
      <c r="H8" s="11">
        <f>SUMIFS('Retorno por proceso'!$T$2:$T$45,'Retorno por proceso'!$A$2:$A$45,$A8)</f>
        <v/>
      </c>
      <c r="I8" s="11">
        <f>SUMIFS('Retorno por proceso'!$U$2:$U$45,'Retorno por proceso'!$A$2:$A$45,$A8)</f>
        <v/>
      </c>
      <c r="J8" s="11">
        <f>IF(I8=0,"",I8*12)</f>
        <v/>
      </c>
      <c r="K8" s="11">
        <f>IF(AND(ISNUMBER(E8),ISNUMBER(Parámetros!$B$3),Parámetros!$B$3&gt;0),E8/Parámetros!$B$3,"")</f>
        <v/>
      </c>
      <c r="L8" s="11">
        <f>SUMIFS('Retorno por proceso'!$W$2:$W$45,'Retorno por proceso'!$A$2:$A$45,$A8)</f>
        <v/>
      </c>
      <c r="M8" s="11">
        <f>SUMIFS('Retorno por proceso'!$X$2:$X$45,'Retorno por proceso'!$A$2:$A$45,$A8)</f>
        <v/>
      </c>
      <c r="N8" s="11">
        <f>SUMIFS('Retorno por proceso'!$Y$2:$Y$45,'Retorno por proceso'!$A$2:$A$45,$A8)</f>
        <v/>
      </c>
    </row>
    <row r="9">
      <c r="A9" s="10" t="inlineStr">
        <is>
          <t>Servicio Médico</t>
        </is>
      </c>
      <c r="B9" s="11">
        <f>COUNTIFS('Retorno por proceso'!$A$2:$A$45,$A9)</f>
        <v/>
      </c>
      <c r="C9" s="11">
        <f>SUMIFS('Retorno por proceso'!$N$2:$N$45,'Retorno por proceso'!$A$2:$A$45,$A9)</f>
        <v/>
      </c>
      <c r="D9" s="11">
        <f>SUMIFS('Retorno por proceso'!$P$2:$P$45,'Retorno por proceso'!$A$2:$A$45,$A9)</f>
        <v/>
      </c>
      <c r="E9" s="11">
        <f>SUMIFS('Retorno por proceso'!$Q$2:$Q$45,'Retorno por proceso'!$A$2:$A$45,$A9)</f>
        <v/>
      </c>
      <c r="F9" s="11">
        <f>SUMIFS('Retorno por proceso'!$R$2:$R$45,'Retorno por proceso'!$A$2:$A$45,$A9)</f>
        <v/>
      </c>
      <c r="G9" s="11">
        <f>SUMIFS('Retorno por proceso'!$S$2:$S$45,'Retorno por proceso'!$A$2:$A$45,$A9)</f>
        <v/>
      </c>
      <c r="H9" s="11">
        <f>SUMIFS('Retorno por proceso'!$T$2:$T$45,'Retorno por proceso'!$A$2:$A$45,$A9)</f>
        <v/>
      </c>
      <c r="I9" s="11">
        <f>SUMIFS('Retorno por proceso'!$U$2:$U$45,'Retorno por proceso'!$A$2:$A$45,$A9)</f>
        <v/>
      </c>
      <c r="J9" s="11">
        <f>IF(I9=0,"",I9*12)</f>
        <v/>
      </c>
      <c r="K9" s="11">
        <f>IF(AND(ISNUMBER(E9),ISNUMBER(Parámetros!$B$3),Parámetros!$B$3&gt;0),E9/Parámetros!$B$3,"")</f>
        <v/>
      </c>
      <c r="L9" s="11">
        <f>SUMIFS('Retorno por proceso'!$W$2:$W$45,'Retorno por proceso'!$A$2:$A$45,$A9)</f>
        <v/>
      </c>
      <c r="M9" s="11">
        <f>SUMIFS('Retorno por proceso'!$X$2:$X$45,'Retorno por proceso'!$A$2:$A$45,$A9)</f>
        <v/>
      </c>
      <c r="N9" s="11">
        <f>SUMIFS('Retorno por proceso'!$Y$2:$Y$45,'Retorno por proceso'!$A$2:$A$45,$A9)</f>
        <v/>
      </c>
    </row>
    <row r="10">
      <c r="A10" s="10" t="inlineStr">
        <is>
          <t>Gestión Contable RRHH</t>
        </is>
      </c>
      <c r="B10" s="11">
        <f>COUNTIFS('Retorno por proceso'!$A$2:$A$45,$A10)</f>
        <v/>
      </c>
      <c r="C10" s="11">
        <f>SUMIFS('Retorno por proceso'!$N$2:$N$45,'Retorno por proceso'!$A$2:$A$45,$A10)</f>
        <v/>
      </c>
      <c r="D10" s="11">
        <f>SUMIFS('Retorno por proceso'!$P$2:$P$45,'Retorno por proceso'!$A$2:$A$45,$A10)</f>
        <v/>
      </c>
      <c r="E10" s="11">
        <f>SUMIFS('Retorno por proceso'!$Q$2:$Q$45,'Retorno por proceso'!$A$2:$A$45,$A10)</f>
        <v/>
      </c>
      <c r="F10" s="11">
        <f>SUMIFS('Retorno por proceso'!$R$2:$R$45,'Retorno por proceso'!$A$2:$A$45,$A10)</f>
        <v/>
      </c>
      <c r="G10" s="11">
        <f>SUMIFS('Retorno por proceso'!$S$2:$S$45,'Retorno por proceso'!$A$2:$A$45,$A10)</f>
        <v/>
      </c>
      <c r="H10" s="11">
        <f>SUMIFS('Retorno por proceso'!$T$2:$T$45,'Retorno por proceso'!$A$2:$A$45,$A10)</f>
        <v/>
      </c>
      <c r="I10" s="11">
        <f>SUMIFS('Retorno por proceso'!$U$2:$U$45,'Retorno por proceso'!$A$2:$A$45,$A10)</f>
        <v/>
      </c>
      <c r="J10" s="11">
        <f>IF(I10=0,"",I10*12)</f>
        <v/>
      </c>
      <c r="K10" s="11">
        <f>IF(AND(ISNUMBER(E10),ISNUMBER(Parámetros!$B$3),Parámetros!$B$3&gt;0),E10/Parámetros!$B$3,"")</f>
        <v/>
      </c>
      <c r="L10" s="11">
        <f>SUMIFS('Retorno por proceso'!$W$2:$W$45,'Retorno por proceso'!$A$2:$A$45,$A10)</f>
        <v/>
      </c>
      <c r="M10" s="11">
        <f>SUMIFS('Retorno por proceso'!$X$2:$X$45,'Retorno por proceso'!$A$2:$A$45,$A10)</f>
        <v/>
      </c>
      <c r="N10" s="11">
        <f>SUMIFS('Retorno por proceso'!$Y$2:$Y$45,'Retorno por proceso'!$A$2:$A$45,$A10)</f>
        <v/>
      </c>
    </row>
    <row r="11">
      <c r="A11" s="10" t="inlineStr">
        <is>
          <t>Gestión de Gente</t>
        </is>
      </c>
      <c r="B11" s="11">
        <f>COUNTIFS('Retorno por proceso'!$A$2:$A$45,$A11)</f>
        <v/>
      </c>
      <c r="C11" s="11">
        <f>SUMIFS('Retorno por proceso'!$N$2:$N$45,'Retorno por proceso'!$A$2:$A$45,$A11)</f>
        <v/>
      </c>
      <c r="D11" s="11">
        <f>SUMIFS('Retorno por proceso'!$P$2:$P$45,'Retorno por proceso'!$A$2:$A$45,$A11)</f>
        <v/>
      </c>
      <c r="E11" s="11">
        <f>SUMIFS('Retorno por proceso'!$Q$2:$Q$45,'Retorno por proceso'!$A$2:$A$45,$A11)</f>
        <v/>
      </c>
      <c r="F11" s="11">
        <f>SUMIFS('Retorno por proceso'!$R$2:$R$45,'Retorno por proceso'!$A$2:$A$45,$A11)</f>
        <v/>
      </c>
      <c r="G11" s="11">
        <f>SUMIFS('Retorno por proceso'!$S$2:$S$45,'Retorno por proceso'!$A$2:$A$45,$A11)</f>
        <v/>
      </c>
      <c r="H11" s="11">
        <f>SUMIFS('Retorno por proceso'!$T$2:$T$45,'Retorno por proceso'!$A$2:$A$45,$A11)</f>
        <v/>
      </c>
      <c r="I11" s="11">
        <f>SUMIFS('Retorno por proceso'!$U$2:$U$45,'Retorno por proceso'!$A$2:$A$45,$A11)</f>
        <v/>
      </c>
      <c r="J11" s="11">
        <f>IF(I11=0,"",I11*12)</f>
        <v/>
      </c>
      <c r="K11" s="11">
        <f>IF(AND(ISNUMBER(E11),ISNUMBER(Parámetros!$B$3),Parámetros!$B$3&gt;0),E11/Parámetros!$B$3,"")</f>
        <v/>
      </c>
      <c r="L11" s="11">
        <f>SUMIFS('Retorno por proceso'!$W$2:$W$45,'Retorno por proceso'!$A$2:$A$45,$A11)</f>
        <v/>
      </c>
      <c r="M11" s="11">
        <f>SUMIFS('Retorno por proceso'!$X$2:$X$45,'Retorno por proceso'!$A$2:$A$45,$A11)</f>
        <v/>
      </c>
      <c r="N11" s="11">
        <f>SUMIFS('Retorno por proceso'!$Y$2:$Y$45,'Retorno por proceso'!$A$2:$A$45,$A11)</f>
        <v/>
      </c>
    </row>
    <row r="12">
      <c r="A12" s="10" t="inlineStr">
        <is>
          <t>Beneficios y Recepción</t>
        </is>
      </c>
      <c r="B12" s="11">
        <f>COUNTIFS('Retorno por proceso'!$A$2:$A$45,$A12)</f>
        <v/>
      </c>
      <c r="C12" s="11">
        <f>SUMIFS('Retorno por proceso'!$N$2:$N$45,'Retorno por proceso'!$A$2:$A$45,$A12)</f>
        <v/>
      </c>
      <c r="D12" s="11">
        <f>SUMIFS('Retorno por proceso'!$P$2:$P$45,'Retorno por proceso'!$A$2:$A$45,$A12)</f>
        <v/>
      </c>
      <c r="E12" s="11">
        <f>SUMIFS('Retorno por proceso'!$Q$2:$Q$45,'Retorno por proceso'!$A$2:$A$45,$A12)</f>
        <v/>
      </c>
      <c r="F12" s="11">
        <f>SUMIFS('Retorno por proceso'!$R$2:$R$45,'Retorno por proceso'!$A$2:$A$45,$A12)</f>
        <v/>
      </c>
      <c r="G12" s="11">
        <f>SUMIFS('Retorno por proceso'!$S$2:$S$45,'Retorno por proceso'!$A$2:$A$45,$A12)</f>
        <v/>
      </c>
      <c r="H12" s="11">
        <f>SUMIFS('Retorno por proceso'!$T$2:$T$45,'Retorno por proceso'!$A$2:$A$45,$A12)</f>
        <v/>
      </c>
      <c r="I12" s="11">
        <f>SUMIFS('Retorno por proceso'!$U$2:$U$45,'Retorno por proceso'!$A$2:$A$45,$A12)</f>
        <v/>
      </c>
      <c r="J12" s="11">
        <f>IF(I12=0,"",I12*12)</f>
        <v/>
      </c>
      <c r="K12" s="11">
        <f>IF(AND(ISNUMBER(E12),ISNUMBER(Parámetros!$B$3),Parámetros!$B$3&gt;0),E12/Parámetros!$B$3,"")</f>
        <v/>
      </c>
      <c r="L12" s="11">
        <f>SUMIFS('Retorno por proceso'!$W$2:$W$45,'Retorno por proceso'!$A$2:$A$45,$A12)</f>
        <v/>
      </c>
      <c r="M12" s="11">
        <f>SUMIFS('Retorno por proceso'!$X$2:$X$45,'Retorno por proceso'!$A$2:$A$45,$A12)</f>
        <v/>
      </c>
      <c r="N12" s="11">
        <f>SUMIFS('Retorno por proceso'!$Y$2:$Y$45,'Retorno por proceso'!$A$2:$A$45,$A12)</f>
        <v/>
      </c>
    </row>
    <row r="14">
      <c r="A14" s="8" t="inlineStr">
        <is>
          <t>TOTAL</t>
        </is>
      </c>
      <c r="B14" s="9">
        <f>SUM(B2:B12)</f>
        <v/>
      </c>
      <c r="C14" s="9">
        <f>SUM(C2:C12)</f>
        <v/>
      </c>
      <c r="D14" s="9">
        <f>SUM(D2:D12)</f>
        <v/>
      </c>
      <c r="E14" s="9">
        <f>SUM(E2:E12)</f>
        <v/>
      </c>
      <c r="F14" s="9">
        <f>SUM(F2:F12)</f>
        <v/>
      </c>
      <c r="G14" s="9">
        <f>SUM(G2:G12)</f>
        <v/>
      </c>
      <c r="H14" s="9">
        <f>SUM(H2:H12)</f>
        <v/>
      </c>
      <c r="I14" s="9">
        <f>SUM(I2:I12)</f>
        <v/>
      </c>
      <c r="J14" s="9">
        <f>SUM(J2:J12)</f>
        <v/>
      </c>
      <c r="K14" s="9">
        <f>SUM(K2:K12)</f>
        <v/>
      </c>
      <c r="L14" s="9">
        <f>SUM(L2:L12)</f>
        <v/>
      </c>
      <c r="M14" s="9">
        <f>SUM(M2:M12)</f>
        <v/>
      </c>
      <c r="N14" s="9">
        <f>SUM(N2:N12)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22" customWidth="1" min="3" max="3"/>
    <col width="44" customWidth="1" min="4" max="4"/>
    <col width="18" customWidth="1" min="5" max="5"/>
    <col width="18" customWidth="1" min="6" max="6"/>
    <col width="18" customWidth="1" min="7" max="7"/>
    <col width="20" customWidth="1" min="8" max="8"/>
    <col width="18" customWidth="1" min="9" max="9"/>
    <col width="18" customWidth="1" min="10" max="10"/>
    <col width="16" customWidth="1" min="11" max="11"/>
    <col width="20" customWidth="1" min="12" max="12"/>
    <col width="60" customWidth="1" min="13" max="13"/>
  </cols>
  <sheetData>
    <row r="1" ht="62" customHeight="1">
      <c r="A1" s="6" t="inlineStr">
        <is>
          <t>Área</t>
        </is>
      </c>
      <c r="B1" s="6" t="inlineStr">
        <is>
          <t>Personas hoy en el área</t>
        </is>
      </c>
      <c r="C1" s="6" t="inlineStr">
        <is>
          <t>Equivalencia: personas que haría falta para procesar la data a mano</t>
        </is>
      </c>
      <c r="D1" s="6" t="inlineStr">
        <is>
          <t>Fuente de la equivalencia</t>
        </is>
      </c>
      <c r="E1" s="6" t="inlineStr">
        <is>
          <t>Posiciones que representa hoy el trabajo manual</t>
        </is>
      </c>
      <c r="F1" s="6" t="inlineStr">
        <is>
          <t>Posiciones que se reducen con las soluciones</t>
        </is>
      </c>
      <c r="G1" s="6" t="inlineStr">
        <is>
          <t>Posiciones que no hará falta contratar</t>
        </is>
      </c>
      <c r="H1" s="6" t="inlineStr">
        <is>
          <t>Costo anual por posición (escala salarial de DUSA, USD)</t>
        </is>
      </c>
      <c r="I1" s="6" t="inlineStr">
        <is>
          <t>Costo anual de las posiciones reducidas (USD)</t>
        </is>
      </c>
      <c r="J1" s="6" t="inlineStr">
        <is>
          <t>Costo anual de las contrataciones evitadas (USD)</t>
        </is>
      </c>
      <c r="K1" s="6" t="inlineStr">
        <is>
          <t>Total anual (USD)</t>
        </is>
      </c>
      <c r="L1" s="6" t="inlineStr">
        <is>
          <t>Tipo de dato</t>
        </is>
      </c>
      <c r="M1" s="6" t="inlineStr">
        <is>
          <t>Observación</t>
        </is>
      </c>
    </row>
    <row r="2">
      <c r="A2" s="4" t="inlineStr">
        <is>
          <t>Contabilidad y Cuentas por Pagar</t>
        </is>
      </c>
      <c r="B2" s="5" t="n">
        <v>6</v>
      </c>
      <c r="C2" s="5" t="n"/>
      <c r="D2" s="5" t="n"/>
      <c r="E2" s="5" t="n"/>
      <c r="F2" s="5" t="n"/>
      <c r="G2" s="5" t="n"/>
      <c r="H2" s="5" t="n"/>
      <c r="I2" s="7">
        <f>IF(AND(ISNUMBER(F2),ISNUMBER(H2)),F2*H2,"")</f>
        <v/>
      </c>
      <c r="J2" s="7">
        <f>IF(AND(ISNUMBER(G2),ISNUMBER(H2)),G2*H2,"")</f>
        <v/>
      </c>
      <c r="K2" s="7">
        <f>IF(COUNT(I2:J2)=0,"",SUM(I2:J2))</f>
        <v/>
      </c>
      <c r="L2" s="5" t="n"/>
      <c r="M2" s="4" t="inlineStr">
        <is>
          <t>6 personas ejecutan los procesos (Informe de Detección, recogido en dusa-cai012/brief.md)</t>
        </is>
      </c>
    </row>
    <row r="3">
      <c r="A3" s="4" t="inlineStr">
        <is>
          <t>Tesorería</t>
        </is>
      </c>
      <c r="B3" s="5" t="n">
        <v>2</v>
      </c>
      <c r="C3" s="5" t="n"/>
      <c r="D3" s="5" t="n"/>
      <c r="E3" s="5" t="n"/>
      <c r="F3" s="5" t="n"/>
      <c r="G3" s="5" t="n"/>
      <c r="H3" s="5" t="n"/>
      <c r="I3" s="7">
        <f>IF(AND(ISNUMBER(F3),ISNUMBER(H3)),F3*H3,"")</f>
        <v/>
      </c>
      <c r="J3" s="7">
        <f>IF(AND(ISNUMBER(G3),ISNUMBER(H3)),G3*H3,"")</f>
        <v/>
      </c>
      <c r="K3" s="7">
        <f>IF(COUNT(I3:J3)=0,"",SUM(I3:J3))</f>
        <v/>
      </c>
      <c r="L3" s="5" t="n"/>
      <c r="M3" s="4" t="inlineStr">
        <is>
          <t>2 personas donde antes había 5 (Informe Final de Auditoría IA, 04/09/2026). Ya hubo una reducción previa: tratar con cuidado</t>
        </is>
      </c>
    </row>
    <row r="4">
      <c r="A4" s="4" t="inlineStr">
        <is>
          <t>Cuentas por Cobrar</t>
        </is>
      </c>
      <c r="B4" s="5" t="n">
        <v>4</v>
      </c>
      <c r="C4" s="5" t="n">
        <v>8</v>
      </c>
      <c r="D4" s="5" t="inlineStr">
        <is>
          <t>La líder estimó que procesar la data a mano requeriría unas 8 personas (mensaje de revisión del 05/10/2026); verificar contra la ficha</t>
        </is>
      </c>
      <c r="E4" s="5" t="n"/>
      <c r="F4" s="5" t="n"/>
      <c r="G4" s="5" t="n"/>
      <c r="H4" s="5" t="n"/>
      <c r="I4" s="7">
        <f>IF(AND(ISNUMBER(F4),ISNUMBER(H4)),F4*H4,"")</f>
        <v/>
      </c>
      <c r="J4" s="7">
        <f>IF(AND(ISNUMBER(G4),ISNUMBER(H4)),G4*H4,"")</f>
        <v/>
      </c>
      <c r="K4" s="7">
        <f>IF(COUNT(I4:J4)=0,"",SUM(I4:J4))</f>
        <v/>
      </c>
      <c r="L4" s="5" t="n"/>
      <c r="M4" s="4" t="inlineStr">
        <is>
          <t>4 personas ejecutan los procesos hoy</t>
        </is>
      </c>
    </row>
    <row r="5">
      <c r="A5" s="4" t="inlineStr">
        <is>
          <t>Finanzas</t>
        </is>
      </c>
      <c r="B5" s="5" t="n">
        <v>2</v>
      </c>
      <c r="C5" s="5" t="n"/>
      <c r="D5" s="5" t="n"/>
      <c r="E5" s="5" t="n"/>
      <c r="F5" s="5" t="n"/>
      <c r="G5" s="5" t="n"/>
      <c r="H5" s="5" t="n"/>
      <c r="I5" s="7">
        <f>IF(AND(ISNUMBER(F5),ISNUMBER(H5)),F5*H5,"")</f>
        <v/>
      </c>
      <c r="J5" s="7">
        <f>IF(AND(ISNUMBER(G5),ISNUMBER(H5)),G5*H5,"")</f>
        <v/>
      </c>
      <c r="K5" s="7">
        <f>IF(COUNT(I5:J5)=0,"",SUM(I5:J5))</f>
        <v/>
      </c>
      <c r="L5" s="5" t="n"/>
      <c r="M5" s="4" t="inlineStr">
        <is>
          <t>2 personas ejecutan los procesos (Informe de Detección)</t>
        </is>
      </c>
    </row>
    <row r="6">
      <c r="A6" s="4" t="inlineStr">
        <is>
          <t>Comercial Región Centro-Sur</t>
        </is>
      </c>
      <c r="B6" s="5" t="n"/>
      <c r="C6" s="5" t="n"/>
      <c r="D6" s="5" t="n"/>
      <c r="E6" s="5" t="n"/>
      <c r="F6" s="5" t="n"/>
      <c r="G6" s="5" t="n"/>
      <c r="H6" s="5" t="n"/>
      <c r="I6" s="7">
        <f>IF(AND(ISNUMBER(F6),ISNUMBER(H6)),F6*H6,"")</f>
        <v/>
      </c>
      <c r="J6" s="7">
        <f>IF(AND(ISNUMBER(G6),ISNUMBER(H6)),G6*H6,"")</f>
        <v/>
      </c>
      <c r="K6" s="7">
        <f>IF(COUNT(I6:J6)=0,"",SUM(I6:J6))</f>
        <v/>
      </c>
      <c r="L6" s="5" t="n"/>
      <c r="M6" s="4" t="inlineStr">
        <is>
          <t>El informe cita 9 personas en Comercial (incluye Región Caracas, fuera de esta propuesta): separar la dotación de Centro-Sur</t>
        </is>
      </c>
    </row>
    <row r="7">
      <c r="A7" s="4" t="inlineStr">
        <is>
          <t>Base de datos de empleados (proceso base)</t>
        </is>
      </c>
      <c r="B7" s="5" t="n"/>
      <c r="C7" s="5" t="n"/>
      <c r="D7" s="5" t="n"/>
      <c r="E7" s="5" t="n"/>
      <c r="F7" s="5" t="n"/>
      <c r="G7" s="5" t="n"/>
      <c r="H7" s="5" t="n"/>
      <c r="I7" s="7">
        <f>IF(AND(ISNUMBER(F7),ISNUMBER(H7)),F7*H7,"")</f>
        <v/>
      </c>
      <c r="J7" s="7">
        <f>IF(AND(ISNUMBER(G7),ISNUMBER(H7)),G7*H7,"")</f>
        <v/>
      </c>
      <c r="K7" s="7">
        <f>IF(COUNT(I7:J7)=0,"",SUM(I7:J7))</f>
        <v/>
      </c>
      <c r="L7" s="5" t="n"/>
      <c r="M7" s="4" t="inlineStr">
        <is>
          <t>Proceso base de Recursos Humanos</t>
        </is>
      </c>
    </row>
    <row r="8">
      <c r="A8" s="4" t="inlineStr">
        <is>
          <t>Nómina</t>
        </is>
      </c>
      <c r="B8" s="5" t="n">
        <v>3</v>
      </c>
      <c r="C8" s="5" t="n"/>
      <c r="D8" s="5" t="n"/>
      <c r="E8" s="5" t="n"/>
      <c r="F8" s="5" t="n"/>
      <c r="G8" s="5" t="n"/>
      <c r="H8" s="5" t="n"/>
      <c r="I8" s="7">
        <f>IF(AND(ISNUMBER(F8),ISNUMBER(H8)),F8*H8,"")</f>
        <v/>
      </c>
      <c r="J8" s="7">
        <f>IF(AND(ISNUMBER(G8),ISNUMBER(H8)),G8*H8,"")</f>
        <v/>
      </c>
      <c r="K8" s="7">
        <f>IF(COUNT(I8:J8)=0,"",SUM(I8:J8))</f>
        <v/>
      </c>
      <c r="L8" s="5" t="n"/>
      <c r="M8" s="4" t="inlineStr">
        <is>
          <t>3 personas, incluido el líder (ficha de Nómina, 01/10/2026)</t>
        </is>
      </c>
    </row>
    <row r="9">
      <c r="A9" s="4" t="inlineStr">
        <is>
          <t>Servicio Médico</t>
        </is>
      </c>
      <c r="B9" s="5" t="n">
        <v>3</v>
      </c>
      <c r="C9" s="5" t="n"/>
      <c r="D9" s="5" t="n"/>
      <c r="E9" s="5" t="n"/>
      <c r="F9" s="5" t="n"/>
      <c r="G9" s="5" t="n"/>
      <c r="H9" s="5" t="n"/>
      <c r="I9" s="7">
        <f>IF(AND(ISNUMBER(F9),ISNUMBER(H9)),F9*H9,"")</f>
        <v/>
      </c>
      <c r="J9" s="7">
        <f>IF(AND(ISNUMBER(G9),ISNUMBER(H9)),G9*H9,"")</f>
        <v/>
      </c>
      <c r="K9" s="7">
        <f>IF(COUNT(I9:J9)=0,"",SUM(I9:J9))</f>
        <v/>
      </c>
      <c r="L9" s="5" t="n"/>
      <c r="M9" s="4" t="inlineStr">
        <is>
          <t>3 personas fijas; eran 12 antes de una reducción de personal (ficha de Servicio Médico). Ya hubo una reducción previa: tratar con cuidado</t>
        </is>
      </c>
    </row>
    <row r="10">
      <c r="A10" s="4" t="inlineStr">
        <is>
          <t>Gestión Contable RRHH</t>
        </is>
      </c>
      <c r="B10" s="5" t="n"/>
      <c r="C10" s="5" t="n"/>
      <c r="D10" s="5" t="n"/>
      <c r="E10" s="5" t="n"/>
      <c r="F10" s="5" t="n"/>
      <c r="G10" s="5" t="n"/>
      <c r="H10" s="5" t="n"/>
      <c r="I10" s="7">
        <f>IF(AND(ISNUMBER(F10),ISNUMBER(H10)),F10*H10,"")</f>
        <v/>
      </c>
      <c r="J10" s="7">
        <f>IF(AND(ISNUMBER(G10),ISNUMBER(H10)),G10*H10,"")</f>
        <v/>
      </c>
      <c r="K10" s="7">
        <f>IF(COUNT(I10:J10)=0,"",SUM(I10:J10))</f>
        <v/>
      </c>
      <c r="L10" s="5" t="n"/>
      <c r="M10" s="4" t="n"/>
    </row>
    <row r="11">
      <c r="A11" s="4" t="inlineStr">
        <is>
          <t>Gestión de Gente</t>
        </is>
      </c>
      <c r="B11" s="5" t="n"/>
      <c r="C11" s="5" t="n"/>
      <c r="D11" s="5" t="n"/>
      <c r="E11" s="5" t="n"/>
      <c r="F11" s="5" t="n"/>
      <c r="G11" s="5" t="n"/>
      <c r="H11" s="5" t="n"/>
      <c r="I11" s="7">
        <f>IF(AND(ISNUMBER(F11),ISNUMBER(H11)),F11*H11,"")</f>
        <v/>
      </c>
      <c r="J11" s="7">
        <f>IF(AND(ISNUMBER(G11),ISNUMBER(H11)),G11*H11,"")</f>
        <v/>
      </c>
      <c r="K11" s="7">
        <f>IF(COUNT(I11:J11)=0,"",SUM(I11:J11))</f>
        <v/>
      </c>
      <c r="L11" s="5" t="n"/>
      <c r="M11" s="4" t="inlineStr">
        <is>
          <t>Talento Humano completo: ~15 personas en 5 sub-áreas (CAP-087/088)</t>
        </is>
      </c>
    </row>
    <row r="12">
      <c r="A12" s="4" t="inlineStr">
        <is>
          <t>Beneficios y Recepción</t>
        </is>
      </c>
      <c r="B12" s="5" t="n"/>
      <c r="C12" s="5" t="n"/>
      <c r="D12" s="5" t="n"/>
      <c r="E12" s="5" t="n"/>
      <c r="F12" s="5" t="n"/>
      <c r="G12" s="5" t="n"/>
      <c r="H12" s="5" t="n"/>
      <c r="I12" s="7">
        <f>IF(AND(ISNUMBER(F12),ISNUMBER(H12)),F12*H12,"")</f>
        <v/>
      </c>
      <c r="J12" s="7">
        <f>IF(AND(ISNUMBER(G12),ISNUMBER(H12)),G12*H12,"")</f>
        <v/>
      </c>
      <c r="K12" s="7">
        <f>IF(COUNT(I12:J12)=0,"",SUM(I12:J12))</f>
        <v/>
      </c>
      <c r="L12" s="5" t="n"/>
      <c r="M12" s="4" t="n"/>
    </row>
    <row r="14">
      <c r="A14" s="8" t="inlineStr">
        <is>
          <t>TOTAL</t>
        </is>
      </c>
      <c r="E14" s="9">
        <f>SUM(E2:E12)</f>
        <v/>
      </c>
      <c r="F14" s="9">
        <f>SUM(F2:F12)</f>
        <v/>
      </c>
      <c r="G14" s="9">
        <f>SUM(G2:G12)</f>
        <v/>
      </c>
      <c r="I14" s="9">
        <f>SUM(I2:I12)</f>
        <v/>
      </c>
      <c r="J14" s="9">
        <f>SUM(J2:J12)</f>
        <v/>
      </c>
      <c r="K14" s="9">
        <f>SUM(K2:K12)</f>
        <v/>
      </c>
    </row>
  </sheetData>
  <dataValidations count="1">
    <dataValidation sqref="L2:L12" showDropDown="0" showInputMessage="0" showErrorMessage="0" allowBlank="1" type="list">
      <formula1>"Medido,Declarado por el área,Estimación conservadora"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52" customWidth="1" min="2" max="2"/>
    <col width="26" customWidth="1" min="3" max="3"/>
    <col width="34" customWidth="1" min="4" max="4"/>
    <col width="46" customWidth="1" min="5" max="5"/>
    <col width="34" customWidth="1" min="6" max="6"/>
    <col width="26" customWidth="1" min="7" max="7"/>
    <col width="48" customWidth="1" min="8" max="8"/>
  </cols>
  <sheetData>
    <row r="1" ht="48" customHeight="1">
      <c r="A1" s="6" t="inlineStr">
        <is>
          <t>Desarrollo de Sistemas de DUSA</t>
        </is>
      </c>
      <c r="B1" s="6" t="inlineStr">
        <is>
          <t>Qué atiende</t>
        </is>
      </c>
      <c r="C1" s="6" t="inlineStr">
        <is>
          <t>Área</t>
        </is>
      </c>
      <c r="D1" s="6" t="inlineStr">
        <is>
          <t>Volumen mensual</t>
        </is>
      </c>
      <c r="E1" s="6" t="inlineStr">
        <is>
          <t>Estado declarado</t>
        </is>
      </c>
      <c r="F1" s="6" t="inlineStr">
        <is>
          <t>Fecha registrada</t>
        </is>
      </c>
      <c r="G1" s="6" t="inlineStr">
        <is>
          <t>Horas que seguirán manuales mientras no llegue (al mes)</t>
        </is>
      </c>
      <c r="H1" s="6" t="inlineStr">
        <is>
          <t>Fuente</t>
        </is>
      </c>
    </row>
    <row r="2">
      <c r="A2" s="4" t="inlineStr">
        <is>
          <t>Desarrollo interno de recepción y carga de órdenes de compra</t>
        </is>
      </c>
      <c r="B2" s="4" t="inlineStr">
        <is>
          <t>Lectura de facturas escaneadas y preregistro en JD Edwards</t>
        </is>
      </c>
      <c r="C2" s="4" t="inlineStr">
        <is>
          <t>Contabilidad y CxP</t>
        </is>
      </c>
      <c r="D2" s="5" t="inlineStr">
        <is>
          <t>Más de 300 facturas al mes</t>
        </is>
      </c>
      <c r="E2" s="4" t="inlineStr">
        <is>
          <t>Más de 300 facturas al mes siguen digitándose hasta su entrega</t>
        </is>
      </c>
      <c r="F2" s="4" t="inlineStr">
        <is>
          <t>Sin fecha de entrega registrada</t>
        </is>
      </c>
      <c r="G2" s="5" t="n"/>
      <c r="H2" s="4" t="inlineStr">
        <is>
          <t>DUSA_Habilidades_Procesos_Ruta_y_Horas_6.docx, «Lo que asume Sistemas de DUSA» (mesa del 02/10/2026)</t>
        </is>
      </c>
    </row>
    <row r="3">
      <c r="A3" s="4" t="inlineStr">
        <is>
          <t>Aplicación de reporte de gasto</t>
        </is>
      </c>
      <c r="B3" s="4" t="inlineStr">
        <is>
          <t>Validación fiscal de la factura y alerta de proveedor no creado</t>
        </is>
      </c>
      <c r="C3" s="4" t="inlineStr">
        <is>
          <t>Contabilidad y CxP</t>
        </is>
      </c>
      <c r="D3" s="5" t="n"/>
      <c r="E3" s="4" t="inlineStr">
        <is>
          <t>Falta construir el preregistro de proveedor</t>
        </is>
      </c>
      <c r="F3" s="4" t="inlineStr">
        <is>
          <t>Sin fecha de entrega registrada</t>
        </is>
      </c>
      <c r="G3" s="5" t="n"/>
      <c r="H3" s="4" t="inlineStr">
        <is>
          <t>DUSA_Habilidades_Procesos_Ruta_y_Horas_6.docx, «Lo que asume Sistemas de DUSA» (mesa del 02/10/2026)</t>
        </is>
      </c>
    </row>
    <row r="4">
      <c r="A4" s="4" t="inlineStr">
        <is>
          <t>Tesote: extracción por API tres veces al día, más la herramienta de tesorería</t>
        </is>
      </c>
      <c r="B4" s="4" t="inlineStr">
        <is>
          <t>Validación de movimientos bancarios y alerta de descuadre</t>
        </is>
      </c>
      <c r="C4" s="4" t="inlineStr">
        <is>
          <t>Tesorería</t>
        </is>
      </c>
      <c r="D4" s="5" t="inlineStr">
        <is>
          <t>Cerca de 5.000 movimientos al mes (Informe de Auditoría IA, 04/09/2026)</t>
        </is>
      </c>
      <c r="E4" s="4" t="inlineStr">
        <is>
          <t>La revisión del extracto sigue siendo humana</t>
        </is>
      </c>
      <c r="F4" s="4" t="inlineStr">
        <is>
          <t>Contrato en redacción (confirmar si hay fecha de entrega)</t>
        </is>
      </c>
      <c r="G4" s="5" t="n"/>
      <c r="H4" s="4" t="inlineStr">
        <is>
          <t>DUSA_Habilidades_Procesos_Ruta_y_Horas_6.docx, «Lo que asume Sistemas de DUSA» (mesa del 02/10/2026)</t>
        </is>
      </c>
    </row>
    <row r="5">
      <c r="A5" s="4" t="inlineStr">
        <is>
          <t>Tesote: disponibilidad consolidada por banco</t>
        </is>
      </c>
      <c r="B5" s="4" t="inlineStr">
        <is>
          <t>Disponibilidad bancaria neta</t>
        </is>
      </c>
      <c r="C5" s="4" t="inlineStr">
        <is>
          <t>Tesorería</t>
        </is>
      </c>
      <c r="D5" s="5" t="n"/>
      <c r="E5" s="4" t="inlineStr">
        <is>
          <t>—</t>
        </is>
      </c>
      <c r="F5" s="4" t="inlineStr">
        <is>
          <t>Contrato en redacción (confirmar si hay fecha de entrega)</t>
        </is>
      </c>
      <c r="G5" s="5" t="n"/>
      <c r="H5" s="4" t="inlineStr">
        <is>
          <t>DUSA_Habilidades_Procesos_Ruta_y_Horas_6.docx, «Lo que asume Sistemas de DUSA» (mesa del 02/10/2026)</t>
        </is>
      </c>
    </row>
    <row r="6">
      <c r="A6" s="4" t="inlineStr">
        <is>
          <t>Herramienta de tesorería existente</t>
        </is>
      </c>
      <c r="B6" s="4" t="inlineStr">
        <is>
          <t>Flujo de caja proyectado contra real</t>
        </is>
      </c>
      <c r="C6" s="4" t="inlineStr">
        <is>
          <t>Tesorería</t>
        </is>
      </c>
      <c r="D6" s="5" t="n"/>
      <c r="E6" s="4" t="inlineStr">
        <is>
          <t>—</t>
        </is>
      </c>
      <c r="F6" s="4" t="inlineStr">
        <is>
          <t>Sin fecha de entrega registrada</t>
        </is>
      </c>
      <c r="G6" s="5" t="n"/>
      <c r="H6" s="4" t="inlineStr">
        <is>
          <t>DUSA_Habilidades_Procesos_Ruta_y_Horas_6.docx, «Lo que asume Sistemas de DUSA» (mesa del 02/10/2026)</t>
        </is>
      </c>
    </row>
    <row r="7">
      <c r="A7" s="4" t="inlineStr">
        <is>
          <t>Portal de autopago y Bitácora de cobranza</t>
        </is>
      </c>
      <c r="B7" s="4" t="inlineStr">
        <is>
          <t>Sinceración de cartera y explicación de saldos abiertos</t>
        </is>
      </c>
      <c r="C7" s="4" t="inlineStr">
        <is>
          <t>Cuentas por Cobrar</t>
        </is>
      </c>
      <c r="D7" s="5" t="n"/>
      <c r="E7" s="4" t="inlineStr">
        <is>
          <t>La cartera debe quedar sincerada antes de que el portal muestre saldos al cliente</t>
        </is>
      </c>
      <c r="F7" s="4" t="inlineStr">
        <is>
          <t>Sin fecha de entrega registrada</t>
        </is>
      </c>
      <c r="G7" s="5" t="n"/>
      <c r="H7" s="4" t="inlineStr">
        <is>
          <t>DUSA_Habilidades_Procesos_Ruta_y_Horas_6.docx, «Lo que asume Sistemas de DUSA» (mesa del 02/10/2026)</t>
        </is>
      </c>
    </row>
    <row r="8">
      <c r="A8" s="4" t="inlineStr">
        <is>
          <t>Portal de autopago</t>
        </is>
      </c>
      <c r="B8" s="4" t="inlineStr">
        <is>
          <t>Imputación de pagos por código cuenta cliente</t>
        </is>
      </c>
      <c r="C8" s="4" t="inlineStr">
        <is>
          <t>Cuentas por Cobrar</t>
        </is>
      </c>
      <c r="D8" s="5" t="n"/>
      <c r="E8" s="4" t="inlineStr">
        <is>
          <t>—</t>
        </is>
      </c>
      <c r="F8" s="4" t="inlineStr">
        <is>
          <t>Sin fecha de entrega registrada</t>
        </is>
      </c>
      <c r="G8" s="5" t="n"/>
      <c r="H8" s="4" t="inlineStr">
        <is>
          <t>DUSA_Habilidades_Procesos_Ruta_y_Horas_6.docx, «Lo que asume Sistemas de DUSA» (mesa del 02/10/2026)</t>
        </is>
      </c>
    </row>
    <row r="9">
      <c r="A9" s="4" t="inlineStr">
        <is>
          <t>Portal de autopago</t>
        </is>
      </c>
      <c r="B9" s="4" t="inlineStr">
        <is>
          <t>Descuento financiero según política y fecha de emisión</t>
        </is>
      </c>
      <c r="C9" s="4" t="inlineStr">
        <is>
          <t>Cuentas por Cobrar</t>
        </is>
      </c>
      <c r="D9" s="5" t="n"/>
      <c r="E9" s="4" t="inlineStr">
        <is>
          <t>—</t>
        </is>
      </c>
      <c r="F9" s="4" t="inlineStr">
        <is>
          <t>Sin fecha de entrega registrada</t>
        </is>
      </c>
      <c r="G9" s="5" t="n"/>
      <c r="H9" s="4" t="inlineStr">
        <is>
          <t>DUSA_Habilidades_Procesos_Ruta_y_Horas_6.docx, «Lo que asume Sistemas de DUSA» (mesa del 02/10/2026)</t>
        </is>
      </c>
    </row>
    <row r="10">
      <c r="A10" s="4" t="inlineStr">
        <is>
          <t>Fase 2 del autopago</t>
        </is>
      </c>
      <c r="B10" s="4" t="inlineStr">
        <is>
          <t>Descuentos comerciales del pedido al cobro (solución definitiva)</t>
        </is>
      </c>
      <c r="C10" s="4" t="inlineStr">
        <is>
          <t>Cuentas por Cobrar</t>
        </is>
      </c>
      <c r="D10" s="5" t="n"/>
      <c r="E10" s="4" t="inlineStr">
        <is>
          <t>Sin fecha; Intezia cubre el intervalo con CC-1</t>
        </is>
      </c>
      <c r="F10" s="4" t="inlineStr">
        <is>
          <t>Sin fecha de entrega registrada</t>
        </is>
      </c>
      <c r="G10" s="5" t="n"/>
      <c r="H10" s="4" t="inlineStr">
        <is>
          <t>DUSA_Habilidades_Procesos_Ruta_y_Horas_6.docx, «Lo que asume Sistemas de DUSA» (mesa del 02/10/2026)</t>
        </is>
      </c>
    </row>
    <row r="11">
      <c r="A11" s="4" t="inlineStr">
        <is>
          <t>Bitácora, autopago y Tesote</t>
        </is>
      </c>
      <c r="B11" s="4" t="inlineStr">
        <is>
          <t>Recordatorios de cobranza y falso estatus de mora</t>
        </is>
      </c>
      <c r="C11" s="4" t="inlineStr">
        <is>
          <t>Comercial Centro-Sur</t>
        </is>
      </c>
      <c r="D11" s="5" t="n"/>
      <c r="E11" s="4" t="inlineStr">
        <is>
          <t>—</t>
        </is>
      </c>
      <c r="F11" s="4" t="inlineStr">
        <is>
          <t>Sin fecha de entrega registrada</t>
        </is>
      </c>
      <c r="G11" s="5" t="n"/>
      <c r="H11" s="4" t="inlineStr">
        <is>
          <t>DUSA_Habilidades_Procesos_Ruta_y_Horas_6.docx, «Lo que asume Sistemas de DUSA» (mesa del 02/10/2026)</t>
        </is>
      </c>
    </row>
    <row r="12">
      <c r="A12" s="4" t="inlineStr">
        <is>
          <t>Autopago, Bitácora y pago directo</t>
        </is>
      </c>
      <c r="B12" s="4" t="inlineStr">
        <is>
          <t>Trazabilidad de abonos, copia de factura, calculadora y método único de abonos</t>
        </is>
      </c>
      <c r="C12" s="4" t="inlineStr">
        <is>
          <t>Comercial Región Caracas</t>
        </is>
      </c>
      <c r="D12" s="5" t="n"/>
      <c r="E12" s="4" t="inlineStr">
        <is>
          <t>El autopago supone un cliente que se autogestiona; la cartera de Caracas es corporativa</t>
        </is>
      </c>
      <c r="F12" s="4" t="inlineStr">
        <is>
          <t>Sin fecha de entrega registrada</t>
        </is>
      </c>
      <c r="G12" s="5" t="n"/>
      <c r="H12" s="4" t="inlineStr">
        <is>
          <t>DUSA_Habilidades_Procesos_Ruta_y_Horas_6.docx, «Lo que asume Sistemas de DUSA» (mesa del 02/10/2026)</t>
        </is>
      </c>
    </row>
    <row r="13">
      <c r="A13" s="4" t="inlineStr">
        <is>
          <t>Portal único de peticiones (Sistemas decide si lo construye con Intezia o adapta la intranet)</t>
        </is>
      </c>
      <c r="B13" s="4" t="inlineStr">
        <is>
          <t>Taxis, boletos, hoteles, salas, transporte, seguros de viaje, comidas, valija y copias de certificados</t>
        </is>
      </c>
      <c r="C13" s="4" t="inlineStr">
        <is>
          <t>Beneficios y Recepción</t>
        </is>
      </c>
      <c r="D13" s="5" t="n"/>
      <c r="E13" s="4" t="inlineStr">
        <is>
          <t>El sistema de taxis actual casi no se usa: exige VPN y no funciona desde el teléfono</t>
        </is>
      </c>
      <c r="F13" s="4" t="inlineStr">
        <is>
          <t>Sin fecha de entrega registrada</t>
        </is>
      </c>
      <c r="G13" s="5" t="n"/>
      <c r="H13" s="4" t="inlineStr">
        <is>
          <t>DUSA_Habilidades_Procesos_Ruta_y_Horas_6.docx, «Lo que asume Sistemas de DUSA» (mesa del 02/10/2026)</t>
        </is>
      </c>
    </row>
    <row r="14">
      <c r="A14" s="4" t="inlineStr">
        <is>
          <t>Aplicativo de inventario de Sistemas, montado en julio</t>
        </is>
      </c>
      <c r="B14" s="4" t="inlineStr">
        <is>
          <t>Inventario de licores y uniformes</t>
        </is>
      </c>
      <c r="C14" s="4" t="inlineStr">
        <is>
          <t>Beneficios y Recepción</t>
        </is>
      </c>
      <c r="D14" s="5" t="n"/>
      <c r="E14" s="4" t="inlineStr">
        <is>
          <t>Sin uso ni capacitación</t>
        </is>
      </c>
      <c r="F14" s="4" t="inlineStr">
        <is>
          <t>Sin fecha de entrega registrada</t>
        </is>
      </c>
      <c r="G14" s="5" t="n"/>
      <c r="H14" s="4" t="inlineStr">
        <is>
          <t>DUSA_Habilidades_Procesos_Ruta_y_Horas_6.docx, «Lo que asume Sistemas de DUSA» (mesa del 02/10/2026)</t>
        </is>
      </c>
    </row>
    <row r="15">
      <c r="A15" s="4" t="inlineStr">
        <is>
          <t>Autogestión en la intranet</t>
        </is>
      </c>
      <c r="B15" s="4" t="inlineStr">
        <is>
          <t>Actualización de carga familiar por el trabajador y registro del plan vacacional</t>
        </is>
      </c>
      <c r="C15" s="4" t="inlineStr">
        <is>
          <t>Beneficios y Administración de personal</t>
        </is>
      </c>
      <c r="D15" s="5" t="n"/>
      <c r="E15" s="4" t="inlineStr">
        <is>
          <t>Requiere aceptación del sindicato</t>
        </is>
      </c>
      <c r="F15" s="4" t="inlineStr">
        <is>
          <t>Sin fecha de entrega registrada</t>
        </is>
      </c>
      <c r="G15" s="5" t="n"/>
      <c r="H15" s="4" t="inlineStr">
        <is>
          <t>DUSA_Habilidades_Procesos_Ruta_y_Horas_6.docx, «Lo que asume Sistemas de DUSA» (mesa del 02/10/2026)</t>
        </is>
      </c>
    </row>
    <row r="16">
      <c r="A16" s="4" t="inlineStr">
        <is>
          <t>Intranet o módulo de SPI, por decidir</t>
        </is>
      </c>
      <c r="B16" s="4" t="inlineStr">
        <is>
          <t>Plataforma de la base única, criterio de correlativo y carga masiva</t>
        </is>
      </c>
      <c r="C16" s="4" t="inlineStr">
        <is>
          <t>Nómina y Servicio Médico</t>
        </is>
      </c>
      <c r="D16" s="5" t="inlineStr">
        <is>
          <t>Base de ≈2.200 trabajadores (Nómina) y 2.516 personas (Servicio Médico)</t>
        </is>
      </c>
      <c r="E16" s="4" t="inlineStr">
        <is>
          <t>Intezia entrega el archivo conciliado (RH-0)</t>
        </is>
      </c>
      <c r="F16" s="4" t="inlineStr">
        <is>
          <t>Sin fecha de entrega registrada</t>
        </is>
      </c>
      <c r="G16" s="5" t="n"/>
      <c r="H16" s="4" t="inlineStr">
        <is>
          <t>DUSA_Habilidades_Procesos_Ruta_y_Horas_6.docx, «Lo que asume Sistemas de DUSA» (mesa del 02/10/2026)</t>
        </is>
      </c>
    </row>
    <row r="17">
      <c r="A17" s="4" t="inlineStr">
        <is>
          <t>Sistema Médico Integral, por ticket del 01/10</t>
        </is>
      </c>
      <c r="B17" s="4" t="inlineStr">
        <is>
          <t>Adjuntos en afiliación y carga masiva del despacho crónico</t>
        </is>
      </c>
      <c r="C17" s="4" t="inlineStr">
        <is>
          <t>Servicio Médico</t>
        </is>
      </c>
      <c r="D17" s="5" t="inlineStr">
        <is>
          <t>1.471 medicamentos en el pedido mensual</t>
        </is>
      </c>
      <c r="E17" s="4" t="inlineStr">
        <is>
          <t>Lo complejo pasa a un tercero con costo</t>
        </is>
      </c>
      <c r="F17" s="4" t="inlineStr">
        <is>
          <t>Sin fecha de entrega registrada</t>
        </is>
      </c>
      <c r="G17" s="5" t="n"/>
      <c r="H17" s="4" t="inlineStr">
        <is>
          <t>DUSA_Habilidades_Procesos_Ruta_y_Horas_6.docx, «Lo que asume Sistemas de DUSA» (mesa del 02/10/2026)</t>
        </is>
      </c>
    </row>
    <row r="18">
      <c r="A18" s="4" t="inlineStr">
        <is>
          <t>Flujo de aprobación de Sistemas</t>
        </is>
      </c>
      <c r="B18" s="4" t="inlineStr">
        <is>
          <t>Circuito digital de solicitud y movimiento de personal</t>
        </is>
      </c>
      <c r="C18" s="4" t="inlineStr">
        <is>
          <t>Gestión de Gente y Nómina</t>
        </is>
      </c>
      <c r="D18" s="5" t="n"/>
      <c r="E18" s="4" t="inlineStr">
        <is>
          <t>—</t>
        </is>
      </c>
      <c r="F18" s="4" t="inlineStr">
        <is>
          <t>Sin fecha de entrega registrada</t>
        </is>
      </c>
      <c r="G18" s="5" t="n"/>
      <c r="H18" s="4" t="inlineStr">
        <is>
          <t>DUSA_Habilidades_Procesos_Ruta_y_Horas_6.docx, «Lo que asume Sistemas de DUSA» (mesa del 02/10/2026)</t>
        </is>
      </c>
    </row>
    <row r="19">
      <c r="A19" s="4" t="inlineStr">
        <is>
          <t>Intranet</t>
        </is>
      </c>
      <c r="B19" s="4" t="inlineStr">
        <is>
          <t>Altas de usuario por notificación</t>
        </is>
      </c>
      <c r="C19" s="4" t="inlineStr">
        <is>
          <t>Gestión de Gente</t>
        </is>
      </c>
      <c r="D19" s="5" t="n"/>
      <c r="E19" s="4" t="inlineStr">
        <is>
          <t>—</t>
        </is>
      </c>
      <c r="F19" s="4" t="inlineStr">
        <is>
          <t>Sin fecha de entrega registrada</t>
        </is>
      </c>
      <c r="G19" s="5" t="n"/>
      <c r="H19" s="4" t="inlineStr">
        <is>
          <t>DUSA_Habilidades_Procesos_Ruta_y_Horas_6.docx, «Lo que asume Sistemas de DUSA» (mesa del 02/10/2026)</t>
        </is>
      </c>
    </row>
    <row r="20">
      <c r="A20" s="4" t="inlineStr">
        <is>
          <t>Aplicativo, por decidir</t>
        </is>
      </c>
      <c r="B20" s="4" t="inlineStr">
        <is>
          <t>Portal de carga de facturas por el proveedor</t>
        </is>
      </c>
      <c r="C20" s="4" t="inlineStr">
        <is>
          <t>Gestión Contable RRHH</t>
        </is>
      </c>
      <c r="D20" s="5" t="n"/>
      <c r="E20" s="4" t="inlineStr">
        <is>
          <t>—</t>
        </is>
      </c>
      <c r="F20" s="4" t="inlineStr">
        <is>
          <t>Sin fecha de entrega registrada</t>
        </is>
      </c>
      <c r="G20" s="5" t="n"/>
      <c r="H20" s="4" t="inlineStr">
        <is>
          <t>DUSA_Habilidades_Procesos_Ruta_y_Horas_6.docx, «Lo que asume Sistemas de DUSA» (mesa del 02/10/2026)</t>
        </is>
      </c>
    </row>
    <row r="21">
      <c r="A21" s="4" t="inlineStr">
        <is>
          <t>Intranet (desarrollo interno, tres años en curso)</t>
        </is>
      </c>
      <c r="B21" s="4" t="inlineStr">
        <is>
          <t>Recibos, constancias y saldos de fideicomiso para el trabajador</t>
        </is>
      </c>
      <c r="C21" s="4" t="inlineStr">
        <is>
          <t>Nómina</t>
        </is>
      </c>
      <c r="D21" s="5" t="n"/>
      <c r="E21" s="4" t="inlineStr">
        <is>
          <t>Faltan los saldos, abonos y retiros de fideicomiso (ficha de Nómina)</t>
        </is>
      </c>
      <c r="F21" s="4" t="inlineStr">
        <is>
          <t>Sin fecha de entrega registrada</t>
        </is>
      </c>
      <c r="G21" s="5" t="n"/>
      <c r="H21" s="4" t="inlineStr">
        <is>
          <t>DUSA_Habilidades_Procesos_Ruta_y_Horas_6.docx, «Lo que asume Sistemas de DUSA» (mesa del 02/10/2026)</t>
        </is>
      </c>
    </row>
    <row r="23" ht="48" customHeight="1">
      <c r="A23" s="2" t="inlineStr">
        <is>
          <t>Nota: el insumo dice que ninguno de estos desarrollos tiene fecha de entrega registrada, salvo Tesote (contrato en redacción). Las columnas azules faltan y se completan con Sistemas. Redacción sugerida: solo hechos y números, sin juicios; Sistemas es garante del proyecto y parte del comité.</t>
        </is>
      </c>
    </row>
  </sheetData>
  <mergeCells count="1">
    <mergeCell ref="A23:H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6" customWidth="1" min="2" max="2"/>
    <col width="34" customWidth="1" min="3" max="3"/>
    <col width="52" customWidth="1" min="4" max="4"/>
    <col width="64" customWidth="1" min="5" max="5"/>
  </cols>
  <sheetData>
    <row r="1">
      <c r="A1" s="3" t="inlineStr">
        <is>
          <t>Área</t>
        </is>
      </c>
      <c r="B1" s="3" t="inlineStr">
        <is>
          <t>Dato</t>
        </is>
      </c>
      <c r="C1" s="3" t="inlineStr">
        <is>
          <t>Valor</t>
        </is>
      </c>
      <c r="D1" s="3" t="inlineStr">
        <is>
          <t>Fuente</t>
        </is>
      </c>
      <c r="E1" s="3" t="inlineStr">
        <is>
          <t>Observación</t>
        </is>
      </c>
    </row>
    <row r="2">
      <c r="A2" s="4" t="inlineStr">
        <is>
          <t>Nómina</t>
        </is>
      </c>
      <c r="B2" s="4" t="inlineStr">
        <is>
          <t>Personas en el equipo (incluido el líder)</t>
        </is>
      </c>
      <c r="C2" s="4" t="inlineStr">
        <is>
          <t>3</t>
        </is>
      </c>
      <c r="D2" s="4" t="inlineStr">
        <is>
          <t>Ficha de Nómina, 01/10/2026</t>
        </is>
      </c>
      <c r="E2" s="4" t="inlineStr"/>
    </row>
    <row r="3">
      <c r="A3" s="4" t="inlineStr">
        <is>
          <t>Nómina</t>
        </is>
      </c>
      <c r="B3" s="4" t="inlineStr">
        <is>
          <t>Trabajadores en la base de nómina</t>
        </is>
      </c>
      <c r="C3" s="4" t="inlineStr">
        <is>
          <t>≈2.200</t>
        </is>
      </c>
      <c r="D3" s="4" t="inlineStr">
        <is>
          <t>Ficha de Nómina, 01/10/2026</t>
        </is>
      </c>
      <c r="E3" s="4" t="inlineStr"/>
    </row>
    <row r="4">
      <c r="A4" s="4" t="inlineStr">
        <is>
          <t>Nómina</t>
        </is>
      </c>
      <c r="B4" s="4" t="inlineStr">
        <is>
          <t>Empresas con aportes parafiscales cada mes</t>
        </is>
      </c>
      <c r="C4" s="4" t="inlineStr">
        <is>
          <t>10 a 15</t>
        </is>
      </c>
      <c r="D4" s="4" t="inlineStr">
        <is>
          <t>Ficha de Nómina, 01/10/2026</t>
        </is>
      </c>
      <c r="E4" s="4" t="inlineStr">
        <is>
          <t>Cuatro servicios: Seguro Social, FAOV, INCES, sindicato y pensiones</t>
        </is>
      </c>
    </row>
    <row r="5">
      <c r="A5" s="4" t="inlineStr">
        <is>
          <t>Nómina</t>
        </is>
      </c>
      <c r="B5" s="4" t="inlineStr">
        <is>
          <t>Plazo para tramitar los aportes del mes</t>
        </is>
      </c>
      <c r="C5" s="4" t="inlineStr">
        <is>
          <t>5 días hábiles</t>
        </is>
      </c>
      <c r="D5" s="4" t="inlineStr">
        <is>
          <t>Ficha de Nómina, 01/10/2026</t>
        </is>
      </c>
      <c r="E5" s="4" t="inlineStr"/>
    </row>
    <row r="6">
      <c r="A6" s="4" t="inlineStr">
        <is>
          <t>Nómina</t>
        </is>
      </c>
      <c r="B6" s="4" t="inlineStr">
        <is>
          <t>Facturas de Humaniz al mes</t>
        </is>
      </c>
      <c r="C6" s="4" t="inlineStr">
        <is>
          <t>4</t>
        </is>
      </c>
      <c r="D6" s="4" t="inlineStr">
        <is>
          <t>Ficha de Nómina, 01/10/2026</t>
        </is>
      </c>
      <c r="E6" s="4" t="inlineStr"/>
    </row>
    <row r="7">
      <c r="A7" s="4" t="inlineStr">
        <is>
          <t>Nómina</t>
        </is>
      </c>
      <c r="B7" s="4" t="inlineStr">
        <is>
          <t>Horas por ejecución y volumen mensual de los 8 procesos</t>
        </is>
      </c>
      <c r="C7" s="4" t="inlineStr">
        <is>
          <t>No declarado</t>
        </is>
      </c>
      <c r="D7" s="4" t="inlineStr">
        <is>
          <t>Ficha de Nómina, 01/10/2026</t>
        </is>
      </c>
      <c r="E7" s="4" t="inlineStr">
        <is>
          <t>«Ninguna estimación de ahorro es defendible» antes de la descripción paso a paso</t>
        </is>
      </c>
    </row>
    <row r="8">
      <c r="A8" s="4" t="inlineStr">
        <is>
          <t>Parafiscales</t>
        </is>
      </c>
      <c r="B8" s="4" t="inlineStr">
        <is>
          <t>Seguro Social, agosto 2026: total de cargos actuales</t>
        </is>
      </c>
      <c r="C8" s="4" t="inlineStr">
        <is>
          <t>30.739,15</t>
        </is>
      </c>
      <c r="D8" s="4" t="inlineStr">
        <is>
          <t>Ficha del agente de parafiscales, prueba con archivos reales</t>
        </is>
      </c>
      <c r="E8" s="4" t="inlineStr">
        <is>
          <t>Sin moneda indicada. Aportes 29.586,60 + intereses de mora 1.152,55</t>
        </is>
      </c>
    </row>
    <row r="9">
      <c r="A9" s="4" t="inlineStr">
        <is>
          <t>Parafiscales</t>
        </is>
      </c>
      <c r="B9" s="4" t="inlineStr">
        <is>
          <t>Seguro Social, agosto 2026: totales anteriores no pagados</t>
        </is>
      </c>
      <c r="C9" s="4" t="inlineStr">
        <is>
          <t>23.751,77</t>
        </is>
      </c>
      <c r="D9" s="4" t="inlineStr">
        <is>
          <t>Ficha del agente de parafiscales</t>
        </is>
      </c>
      <c r="E9" s="4" t="inlineStr">
        <is>
          <t>Sin moneda indicada. Es el monto pendiente que detectó el agente. Total con pendientes: 54.490,92</t>
        </is>
      </c>
    </row>
    <row r="10">
      <c r="A10" s="4" t="inlineStr">
        <is>
          <t>Parafiscales</t>
        </is>
      </c>
      <c r="B10" s="4" t="inlineStr">
        <is>
          <t>FAOV, agosto 2026</t>
        </is>
      </c>
      <c r="C10" s="4" t="inlineStr">
        <is>
          <t>2.359.683,68</t>
        </is>
      </c>
      <c r="D10" s="4" t="inlineStr">
        <is>
          <t>Ficha del agente de parafiscales</t>
        </is>
      </c>
      <c r="E10" s="4" t="inlineStr">
        <is>
          <t>Sin moneda indicada. Planilla vencida el 14/09/2026 (alerta de mora). TXT: 358 líneas por 78.656.122,69</t>
        </is>
      </c>
    </row>
    <row r="11">
      <c r="A11" s="4" t="inlineStr">
        <is>
          <t>Parafiscales</t>
        </is>
      </c>
      <c r="B11" s="4" t="inlineStr">
        <is>
          <t>INCES, segundo trimestre</t>
        </is>
      </c>
      <c r="C11" s="4" t="inlineStr">
        <is>
          <t>2.565.115,91</t>
        </is>
      </c>
      <c r="D11" s="4" t="inlineStr">
        <is>
          <t>Ficha del agente de parafiscales</t>
        </is>
      </c>
      <c r="E11" s="4" t="inlineStr">
        <is>
          <t>Sin moneda indicada. Retención INCES 0,5 % de DUSA: 311.920,84</t>
        </is>
      </c>
    </row>
    <row r="12">
      <c r="A12" s="4" t="inlineStr">
        <is>
          <t>Parafiscales</t>
        </is>
      </c>
      <c r="B12" s="4" t="inlineStr">
        <is>
          <t>Pensiones 2038, 2074 y 2680: diferencia entre el TXT y el reporte</t>
        </is>
      </c>
      <c r="C12" s="4" t="inlineStr">
        <is>
          <t>271.430,84 / 135.715,42 / 71.849,34</t>
        </is>
      </c>
      <c r="D12" s="4" t="inlineStr">
        <is>
          <t>Ficha del agente de parafiscales</t>
        </is>
      </c>
      <c r="E12" s="4" t="inlineStr">
        <is>
          <t>Sin moneda indicada. El agente reporta la diferencia y no elige monto</t>
        </is>
      </c>
    </row>
    <row r="13">
      <c r="A13" s="4" t="inlineStr">
        <is>
          <t>Servicio Médico</t>
        </is>
      </c>
      <c r="B13" s="4" t="inlineStr">
        <is>
          <t>Personas fijas en el área</t>
        </is>
      </c>
      <c r="C13" s="4" t="inlineStr">
        <is>
          <t>3 (eran 12)</t>
        </is>
      </c>
      <c r="D13" s="4" t="inlineStr">
        <is>
          <t>Ficha de Servicio Médico, 01-02/10/2026</t>
        </is>
      </c>
      <c r="E13" s="4" t="inlineStr">
        <is>
          <t>Hubo una reducción previa de personal</t>
        </is>
      </c>
    </row>
    <row r="14">
      <c r="A14" s="4" t="inlineStr">
        <is>
          <t>Servicio Médico</t>
        </is>
      </c>
      <c r="B14" s="4" t="inlineStr">
        <is>
          <t>Personas en la base de beneficiarios</t>
        </is>
      </c>
      <c r="C14" s="4" t="inlineStr">
        <is>
          <t>2.516</t>
        </is>
      </c>
      <c r="D14" s="4" t="inlineStr">
        <is>
          <t>Ficha de Servicio Médico</t>
        </is>
      </c>
      <c r="E14" s="4" t="inlineStr"/>
    </row>
    <row r="15">
      <c r="A15" s="4" t="inlineStr">
        <is>
          <t>Servicio Médico</t>
        </is>
      </c>
      <c r="B15" s="4" t="inlineStr">
        <is>
          <t>Medicamentos en el pedido mensual de tratamiento crónico</t>
        </is>
      </c>
      <c r="C15" s="4" t="inlineStr">
        <is>
          <t>1.471</t>
        </is>
      </c>
      <c r="D15" s="4" t="inlineStr">
        <is>
          <t>Ficha de Servicio Médico</t>
        </is>
      </c>
      <c r="E15" s="4" t="inlineStr"/>
    </row>
    <row r="16">
      <c r="A16" s="4" t="inlineStr">
        <is>
          <t>Servicio Médico</t>
        </is>
      </c>
      <c r="B16" s="4" t="inlineStr">
        <is>
          <t>Análisis de morbilidad, mensual (manual)</t>
        </is>
      </c>
      <c r="C16" s="4" t="inlineStr">
        <is>
          <t>Casi una jornada por ejecución</t>
        </is>
      </c>
      <c r="D16" s="4" t="inlineStr">
        <is>
          <t>Ficha de Servicio Médico</t>
        </is>
      </c>
      <c r="E16" s="4" t="inlineStr">
        <is>
          <t>Los 10 minutos del agente no incluyen insumos ni revisión: no es ahorro neto</t>
        </is>
      </c>
    </row>
    <row r="17">
      <c r="A17" s="4" t="inlineStr">
        <is>
          <t>Servicio Médico</t>
        </is>
      </c>
      <c r="B17" s="4" t="inlineStr">
        <is>
          <t>Informe de certificados de salud (a requerimiento, manual)</t>
        </is>
      </c>
      <c r="C17" s="4" t="inlineStr">
        <is>
          <t>Unos 3 días por informe</t>
        </is>
      </c>
      <c r="D17" s="4" t="inlineStr">
        <is>
          <t>Ficha de Servicio Médico</t>
        </is>
      </c>
      <c r="E17" s="4" t="inlineStr">
        <is>
          <t>Frecuencia no declarada</t>
        </is>
      </c>
    </row>
    <row r="18">
      <c r="A18" s="4" t="inlineStr">
        <is>
          <t>Tesorería</t>
        </is>
      </c>
      <c r="B18" s="4" t="inlineStr">
        <is>
          <t>Cuentas bancarias / empresas / movimientos al mes</t>
        </is>
      </c>
      <c r="C18" s="4" t="inlineStr">
        <is>
          <t>130 / 15 / ≈5.000</t>
        </is>
      </c>
      <c r="D18" s="4" t="inlineStr">
        <is>
          <t>Informe Final de Auditoría IA, 04/09/2026 (dusa-cai012/brief.md)</t>
        </is>
      </c>
      <c r="E18" s="4" t="inlineStr">
        <is>
          <t>Dos personas donde antes había cinco; la mitad de la jornada en extractos</t>
        </is>
      </c>
    </row>
    <row r="19">
      <c r="A19" s="4" t="inlineStr">
        <is>
          <t>Contabilidad y CxP</t>
        </is>
      </c>
      <c r="B19" s="4" t="inlineStr">
        <is>
          <t>Facturas registradas a mano al mes</t>
        </is>
      </c>
      <c r="C19" s="4" t="inlineStr">
        <is>
          <t>Más de 300</t>
        </is>
      </c>
      <c r="D19" s="4" t="inlineStr">
        <is>
          <t>Informe Final de Auditoría IA, 04/09/2026</t>
        </is>
      </c>
      <c r="E19" s="4" t="inlineStr">
        <is>
          <t>Ese registro lo cubre Sistemas, fuera de esta propuesta</t>
        </is>
      </c>
    </row>
    <row r="20">
      <c r="A20" s="4" t="inlineStr">
        <is>
          <t>5 áreas financiero-comerciales</t>
        </is>
      </c>
      <c r="B20" s="4" t="inlineStr">
        <is>
          <t>Personas que ejecutan los procesos</t>
        </is>
      </c>
      <c r="C20" s="4" t="inlineStr">
        <is>
          <t>23: 6 CxP, 9 Comercial, 4 CxC, 2 Tesorería, 2 Finanzas</t>
        </is>
      </c>
      <c r="D20" s="4" t="inlineStr">
        <is>
          <t>Informe de Detección (dusa-cai012/brief.md)</t>
        </is>
      </c>
      <c r="E20" s="4" t="inlineStr"/>
    </row>
    <row r="21">
      <c r="A21" s="4" t="inlineStr">
        <is>
          <t>Cuentas por Cobrar</t>
        </is>
      </c>
      <c r="B21" s="4" t="inlineStr">
        <is>
          <t>Equivalencia en personas para procesar la data a mano</t>
        </is>
      </c>
      <c r="C21" s="4" t="inlineStr">
        <is>
          <t>≈8</t>
        </is>
      </c>
      <c r="D21" s="4" t="inlineStr">
        <is>
          <t>Mensaje de revisión del 05/10/2026 (estimación de la líder)</t>
        </is>
      </c>
      <c r="E21" s="4" t="inlineStr">
        <is>
          <t>Verificar contra la ficha de Cuentas por Cobrar</t>
        </is>
      </c>
    </row>
    <row r="22">
      <c r="A22" s="4" t="inlineStr">
        <is>
          <t>Recursos Humanos</t>
        </is>
      </c>
      <c r="B22" s="4" t="inlineStr">
        <is>
          <t>Compañías con ficha numerada por separado / fuentes del mismo trabajador</t>
        </is>
      </c>
      <c r="C22" s="4" t="inlineStr">
        <is>
          <t>18 / 5</t>
        </is>
      </c>
      <c r="D22" s="4" t="inlineStr">
        <is>
          <t>Informe de Detección; DUSA_Habilidades_Procesos_Ruta_y_Horas_6.docx</t>
        </is>
      </c>
      <c r="E22" s="4" t="inlineStr"/>
    </row>
    <row r="23">
      <c r="A23" s="4" t="inlineStr">
        <is>
          <t>DUSA</t>
        </is>
      </c>
      <c r="B23" s="4" t="inlineStr">
        <is>
          <t>Colaboradores</t>
        </is>
      </c>
      <c r="C23" s="4" t="inlineStr">
        <is>
          <t>≈500 (360 en plantas)</t>
        </is>
      </c>
      <c r="D23" s="4" t="inlineStr">
        <is>
          <t>dusa-cap087/brief.md</t>
        </is>
      </c>
      <c r="E23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" customWidth="1" min="1" max="1"/>
    <col width="74" customWidth="1" min="2" max="2"/>
    <col width="56" customWidth="1" min="3" max="3"/>
    <col width="50" customWidth="1" min="4" max="4"/>
  </cols>
  <sheetData>
    <row r="1">
      <c r="A1" s="3" t="inlineStr">
        <is>
          <t>#</t>
        </is>
      </c>
      <c r="B1" s="3" t="inlineStr">
        <is>
          <t>Dato que falta</t>
        </is>
      </c>
      <c r="C1" s="3" t="inlineStr">
        <is>
          <t>Para qué se necesita</t>
        </is>
      </c>
      <c r="D1" s="3" t="inlineStr">
        <is>
          <t>Quién lo puede aportar</t>
        </is>
      </c>
    </row>
    <row r="2">
      <c r="A2" s="4" t="n">
        <v>1</v>
      </c>
      <c r="B2" s="4" t="inlineStr">
        <is>
          <t>Costo hora de referencia en dólares, validado con Wilmer</t>
        </is>
      </c>
      <c r="C2" s="4" t="inlineStr">
        <is>
          <t>Valor en dinero de las horas recuperadas</t>
        </is>
      </c>
      <c r="D2" s="4" t="inlineStr">
        <is>
          <t>Wilmer / Finanzas</t>
        </is>
      </c>
    </row>
    <row r="3">
      <c r="A3" s="4" t="n">
        <v>2</v>
      </c>
      <c r="B3" s="4" t="inlineStr">
        <is>
          <t>Horas productivas por posición al mes</t>
        </is>
      </c>
      <c r="C3" s="4" t="inlineStr">
        <is>
          <t>Convertir horas recuperadas en posiciones</t>
        </is>
      </c>
      <c r="D3" s="4" t="inlineStr">
        <is>
          <t>Recursos Humanos de DUSA</t>
        </is>
      </c>
    </row>
    <row r="4">
      <c r="A4" s="4" t="n">
        <v>3</v>
      </c>
      <c r="B4" s="4" t="inlineStr">
        <is>
          <t>Escalas salariales de DUSA por cargo (costo anual cargado por posición)</t>
        </is>
      </c>
      <c r="C4" s="4" t="inlineStr">
        <is>
          <t>Costo anual de cada posición</t>
        </is>
      </c>
      <c r="D4" s="4" t="inlineStr">
        <is>
          <t>Recursos Humanos / Nómina de DUSA</t>
        </is>
      </c>
    </row>
    <row r="5">
      <c r="A5" s="4" t="n">
        <v>4</v>
      </c>
      <c r="B5" s="4" t="inlineStr">
        <is>
          <t>Volumen mensual, tiempo actual por ejecución y ejecuciones al mes de cada proceso</t>
        </is>
      </c>
      <c r="C5" s="4" t="inlineStr">
        <is>
          <t>Horas actuales al mes (hoy figuran «No declarado» en las fichas)</t>
        </is>
      </c>
      <c r="D5" s="4" t="inlineStr">
        <is>
          <t>Las sesiones de levantamiento que tengan el dato; si no existe, la línea base de la semana 1</t>
        </is>
      </c>
    </row>
    <row r="6">
      <c r="A6" s="4" t="n">
        <v>5</v>
      </c>
      <c r="B6" s="4" t="inlineStr">
        <is>
          <t>Tiempo con la solución por ejecución</t>
        </is>
      </c>
      <c r="C6" s="4" t="inlineStr">
        <is>
          <t>Horas recuperadas al mes. Si no hay medición, estimación conservadora marcada como tal</t>
        </is>
      </c>
      <c r="D6" s="4" t="inlineStr">
        <is>
          <t>Consultores de Intezia, validado con el líder de cada área</t>
        </is>
      </c>
    </row>
    <row r="7">
      <c r="A7" s="4" t="n">
        <v>6</v>
      </c>
      <c r="B7" s="4" t="inlineStr">
        <is>
          <t>Dotación equivalente por área (solo se conoce Cuentas por Cobrar: ≈8 personas)</t>
        </is>
      </c>
      <c r="C7" s="4" t="inlineStr">
        <is>
          <t>Posiciones que representa hoy el trabajo manual</t>
        </is>
      </c>
      <c r="D7" s="4" t="inlineStr">
        <is>
          <t>Líder de cada área</t>
        </is>
      </c>
    </row>
    <row r="8">
      <c r="A8" s="4" t="n">
        <v>7</v>
      </c>
      <c r="B8" s="4" t="inlineStr">
        <is>
          <t>Posiciones que se reducen y contrataciones que no hará falta hacer, por área</t>
        </is>
      </c>
      <c r="C8" s="4" t="inlineStr">
        <is>
          <t>Cuenta de dotación y nómina para los directores</t>
        </is>
      </c>
      <c r="D8" s="4" t="inlineStr">
        <is>
          <t>Wilmer y la dirección de DUSA</t>
        </is>
      </c>
    </row>
    <row r="9">
      <c r="A9" s="4" t="n">
        <v>8</v>
      </c>
      <c r="B9" s="4" t="inlineStr">
        <is>
          <t>Monto de retrabajo, errores, pagos y cobros tardíos, cuando exista el dato</t>
        </is>
      </c>
      <c r="C9" s="4" t="inlineStr">
        <is>
          <t>Retorno adicional al tiempo</t>
        </is>
      </c>
      <c r="D9" s="4" t="inlineStr">
        <is>
          <t>Finanzas, Tesorería y Nómina de DUSA</t>
        </is>
      </c>
    </row>
    <row r="10">
      <c r="A10" s="4" t="n">
        <v>9</v>
      </c>
      <c r="B10" s="4" t="inlineStr">
        <is>
          <t>Moneda de los montos de la ficha del agente de parafiscales</t>
        </is>
      </c>
      <c r="C10" s="4" t="inlineStr">
        <is>
          <t>Citar el monto pendiente de parafiscales sin error</t>
        </is>
      </c>
      <c r="D10" s="4" t="inlineStr">
        <is>
          <t>Nómina de DUSA</t>
        </is>
      </c>
    </row>
    <row r="11">
      <c r="A11" s="4" t="n">
        <v>10</v>
      </c>
      <c r="B11" s="4" t="inlineStr">
        <is>
          <t>Volumen, estado y horas manuales de cada desarrollo de Sistemas</t>
        </is>
      </c>
      <c r="C11" s="4" t="inlineStr">
        <is>
          <t>Tabla de Sistemas del informe</t>
        </is>
      </c>
      <c r="D11" s="4" t="inlineStr">
        <is>
          <t>Sistemas de DUSA</t>
        </is>
      </c>
    </row>
    <row r="12">
      <c r="A12" s="4" t="n">
        <v>11</v>
      </c>
      <c r="B12" s="4" t="inlineStr">
        <is>
          <t>Fichas de levantamiento de las demás áreas (Finanzas, Cuentas por Cobrar, Cuentas por Pagar, Tesorería, Comercial, Gestión de Gente, Beneficios, Gestión Contable)</t>
        </is>
      </c>
      <c r="C12" s="4" t="inlineStr">
        <is>
          <t>Cuadro de hallazgos por área y datos duros</t>
        </is>
      </c>
      <c r="D12" s="4" t="inlineStr">
        <is>
          <t>Intezia (archivo de sesiones)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2026-10-05T17:27:29Z</dcterms:created>
  <dcterms:modified xsi:type="dcterms:W3CDTF">2026-10-05T17:27:29Z</dcterms:modified>
</cp:coreProperties>
</file>